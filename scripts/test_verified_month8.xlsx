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HRM\HRM.Backend\HRM.Backend\wwwroot\Excel_Import\"/>
    </mc:Choice>
  </mc:AlternateContent>
  <xr:revisionPtr revIDLastSave="0" documentId="13_ncr:1_{FE20FA46-742E-4A33-A7DC-0BC5BBF0FBBF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Ngày tháng 08" sheetId="1" r:id="rId1"/>
    <x:sheet name="Đêm tháng 08" sheetId="2" r:id="rId2"/>
    <x:sheet name="Cơm Hàn" sheetId="4" r:id="rId3"/>
  </x:sheets>
  <x:definedNames/>
  <x:calcPr calcId="191029" calcMode="auto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AH3" i="1"/>
  <x:c r="AH4" i="1"/>
  <x:c r="AH5" i="1"/>
  <x:c r="AN5" i="1"/>
  <x:c r="AO5" i="1"/>
  <x:c r="AP5" i="1"/>
  <x:c r="AQ5" i="1"/>
  <x:c r="AR5" i="1"/>
  <x:c r="AH6" i="1"/>
  <x:c r="AN6" i="1"/>
  <x:c r="AP6" i="1"/>
  <x:c r="AR6" i="1"/>
  <x:c r="AH7" i="1"/>
  <x:c r="AN7" i="1"/>
  <x:c r="AR7" i="1"/>
  <x:c r="AH8" i="1"/>
  <x:c r="AH9" i="1"/>
  <x:c r="AH10" i="1"/>
  <x:c r="AH11" i="1"/>
  <x:c r="AH12" i="1"/>
  <x:c r="AH13" i="1"/>
  <x:c r="AH14" i="1"/>
  <x:c r="AH15" i="1"/>
  <x:c r="AH16" i="1"/>
  <x:c r="AH17" i="1"/>
  <x:c r="AH18" i="1"/>
  <x:c r="AH19" i="1"/>
  <x:c r="AH20" i="1"/>
  <x:c r="AH21" i="1"/>
  <x:c r="C22" i="1"/>
  <x:c r="D22" i="1"/>
  <x:c r="E22" i="1"/>
  <x:c r="F22" i="1"/>
  <x:c r="G22" i="1"/>
  <x:c r="H22" i="1"/>
  <x:c r="I22" i="1"/>
  <x:c r="J22" i="1"/>
  <x:c r="K22" i="1"/>
  <x:c r="L22" i="1"/>
  <x:c r="M22" i="1"/>
  <x:c r="N22" i="1"/>
  <x:c r="O22" i="1"/>
  <x:c r="P22" i="1"/>
  <x:c r="Q22" i="1"/>
  <x:c r="R22" i="1"/>
  <x:c r="S22" i="1"/>
  <x:c r="T22" i="1"/>
  <x:c r="U22" i="1"/>
  <x:c r="V22" i="1"/>
  <x:c r="W22" i="1"/>
  <x:c r="X22" i="1"/>
  <x:c r="Y22" i="1"/>
  <x:c r="Z22" i="1"/>
  <x:c r="AA22" i="1"/>
  <x:c r="AB22" i="1"/>
  <x:c r="AC22" i="1"/>
  <x:c r="AD22" i="1"/>
  <x:c r="AE22" i="1"/>
  <x:c r="AF22" i="1"/>
  <x:c r="AG22" i="1"/>
  <x:c r="AH22" i="1"/>
  <x:c r="AH23" i="1"/>
  <x:c r="AH24" i="1"/>
  <x:c r="AH25" i="1"/>
  <x:c r="AH26" i="1"/>
  <x:c r="AH27" i="1"/>
  <x:c r="AH28" i="1"/>
  <x:c r="AH29" i="1"/>
  <x:c r="AH30" i="1"/>
  <x:c r="AH31" i="1"/>
  <x:c r="AH32" i="1"/>
  <x:c r="AH33" i="1"/>
  <x:c r="AH34" i="1"/>
  <x:c r="AH35" i="1"/>
  <x:c r="AH36" i="1"/>
  <x:c r="AH37" i="1"/>
  <x:c r="AH38" i="1"/>
  <x:c r="AH39" i="1"/>
  <x:c r="AH40" i="1"/>
  <x:c r="C41" i="1"/>
  <x:c r="D41" i="1"/>
  <x:c r="E41" i="1"/>
  <x:c r="F41" i="1"/>
  <x:c r="G41" i="1"/>
  <x:c r="H41" i="1"/>
  <x:c r="I41" i="1"/>
  <x:c r="J41" i="1"/>
  <x:c r="K41" i="1"/>
  <x:c r="L41" i="1"/>
  <x:c r="M41" i="1"/>
  <x:c r="N41" i="1"/>
  <x:c r="O41" i="1"/>
  <x:c r="P41" i="1"/>
  <x:c r="Q41" i="1"/>
  <x:c r="R41" i="1"/>
  <x:c r="S41" i="1"/>
  <x:c r="T41" i="1"/>
  <x:c r="U41" i="1"/>
  <x:c r="V41" i="1"/>
  <x:c r="W41" i="1"/>
  <x:c r="X41" i="1"/>
  <x:c r="Y41" i="1"/>
  <x:c r="Z41" i="1"/>
  <x:c r="AA41" i="1"/>
  <x:c r="AB41" i="1"/>
  <x:c r="AC41" i="1"/>
  <x:c r="AD41" i="1"/>
  <x:c r="AE41" i="1"/>
  <x:c r="AF41" i="1"/>
  <x:c r="AG41" i="1"/>
  <x:c r="AH41" i="1"/>
  <x:c r="AI41" i="1"/>
  <x:c r="AH3" i="2"/>
  <x:c r="AH4" i="2"/>
  <x:c r="AH5" i="2"/>
  <x:c r="AH6" i="2"/>
  <x:c r="AH7" i="2"/>
  <x:c r="AH8" i="2"/>
  <x:c r="AH9" i="2"/>
  <x:c r="AH10" i="2"/>
  <x:c r="AH11" i="2"/>
  <x:c r="AH12" i="2"/>
  <x:c r="AH13" i="2"/>
  <x:c r="AH14" i="2"/>
  <x:c r="AH15" i="2"/>
  <x:c r="AH16" i="2"/>
  <x:c r="AH17" i="2"/>
  <x:c r="AH18" i="2"/>
  <x:c r="C19" i="2"/>
  <x:c r="D19" i="2"/>
  <x:c r="E19" i="2"/>
  <x:c r="F19" i="2"/>
  <x:c r="G19" i="2"/>
  <x:c r="H19" i="2"/>
  <x:c r="I19" i="2"/>
  <x:c r="J19" i="2"/>
  <x:c r="K19" i="2"/>
  <x:c r="L19" i="2"/>
  <x:c r="M19" i="2"/>
  <x:c r="N19" i="2"/>
  <x:c r="O19" i="2"/>
  <x:c r="P19" i="2"/>
  <x:c r="Q19" i="2"/>
  <x:c r="R19" i="2"/>
  <x:c r="S19" i="2"/>
  <x:c r="T19" i="2"/>
  <x:c r="U19" i="2"/>
  <x:c r="V19" i="2"/>
  <x:c r="W19" i="2"/>
  <x:c r="X19" i="2"/>
  <x:c r="Y19" i="2"/>
  <x:c r="Z19" i="2"/>
  <x:c r="AA19" i="2"/>
  <x:c r="AB19" i="2"/>
  <x:c r="AC19" i="2"/>
  <x:c r="AD19" i="2"/>
  <x:c r="AE19" i="2"/>
  <x:c r="AF19" i="2"/>
  <x:c r="AG19" i="2"/>
  <x:c r="AH19" i="2"/>
  <x:c r="AH21" i="2"/>
  <x:c r="AH22" i="2"/>
  <x:c r="AH23" i="2"/>
  <x:c r="AH24" i="2"/>
  <x:c r="AH25" i="2"/>
  <x:c r="AH26" i="2"/>
  <x:c r="AH27" i="2"/>
  <x:c r="AH28" i="2"/>
  <x:c r="AH29" i="2"/>
  <x:c r="AH30" i="2"/>
  <x:c r="AH31" i="2"/>
  <x:c r="AH32" i="2"/>
  <x:c r="AH33" i="2"/>
  <x:c r="AH34" i="2"/>
  <x:c r="AH35" i="2"/>
  <x:c r="AH36" i="2"/>
  <x:c r="C37" i="2"/>
  <x:c r="D37" i="2"/>
  <x:c r="E37" i="2"/>
  <x:c r="F37" i="2"/>
  <x:c r="G37" i="2"/>
  <x:c r="H37" i="2"/>
  <x:c r="I37" i="2"/>
  <x:c r="J37" i="2"/>
  <x:c r="K37" i="2"/>
  <x:c r="L37" i="2"/>
  <x:c r="M37" i="2"/>
  <x:c r="N37" i="2"/>
  <x:c r="O37" i="2"/>
  <x:c r="P37" i="2"/>
  <x:c r="Q37" i="2"/>
  <x:c r="R37" i="2"/>
  <x:c r="S37" i="2"/>
  <x:c r="T37" i="2"/>
  <x:c r="U37" i="2"/>
  <x:c r="V37" i="2"/>
  <x:c r="W37" i="2"/>
  <x:c r="X37" i="2"/>
  <x:c r="Y37" i="2"/>
  <x:c r="Z37" i="2"/>
  <x:c r="AA37" i="2"/>
  <x:c r="AB37" i="2"/>
  <x:c r="AC37" i="2"/>
  <x:c r="AD37" i="2"/>
  <x:c r="AE37" i="2"/>
  <x:c r="AF37" i="2"/>
  <x:c r="AG37" i="2"/>
  <x:c r="AH37" i="2"/>
  <x:c r="AI37" i="2"/>
  <x:c r="D34" i="4"/>
  <x:c r="E34" i="4"/>
  <x:c r="F34" i="4"/>
</x:calcChain>
</file>

<file path=xl/comments1.xml><?xml version="1.0" encoding="utf-8"?>
<x:comments xmlns:x="http://schemas.openxmlformats.org/spreadsheetml/2006/main">
  <x:authors>
    <x:author>Doan Ngoc My Nhi</x:author>
  </x:authors>
  <x:commentList>
    <x:comment ref="D2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Doan Ngoc My Nhi: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OT đêm của ngày 26/8</x:t>
        </x:r>
      </x:text>
    </x:comment>
  </x:commentList>
</x:comments>
</file>

<file path=xl/sharedStrings.xml><?xml version="1.0" encoding="utf-8"?>
<x:sst xmlns:x="http://schemas.openxmlformats.org/spreadsheetml/2006/main">
  <x:si>
    <x:t>BÁO CƠM ĐÊM - SÁNG HANSOL THÁNG 08/2026</x:t>
  </x:si>
  <x:si>
    <x:t>ăn trưa</x:t>
  </x:si>
  <x:si>
    <x:t>DATE</x:t>
  </x:si>
  <x:si>
    <x:t>26</x:t>
  </x:si>
  <x:si>
    <x:t>27</x:t>
  </x:si>
  <x:si>
    <x:t>28</x:t>
  </x:si>
  <x:si>
    <x:t>29</x:t>
  </x:si>
  <x:si>
    <x:t>30</x:t>
  </x:si>
  <x:si>
    <x:t>31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</x:si>
  <x:si>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</x:si>
  <x:si>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</x:si>
  <x:si>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</x:si>
  <x:si>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</x:si>
  <x:si>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</x:si>
  <x:si>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</x:si>
  <x:si>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</x:si>
  <x:si>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</x:si>
  <x:si>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</x:si>
  <x:si>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</x:si>
  <x:si>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</x:si>
  <x:si>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</x:si>
  <x:si>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</x:si>
  <x:si>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</x:si>
  <x:si>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</x:si>
  <x:si>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</x:si>
  <x:si>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</x:si>
  <x:si>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</x:si>
  <x:si>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</x:si>
  <x:si>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</x:si>
  <x:si>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</x:si>
  <x:si>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</x:si>
  <x:si>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</x:si>
  <x:si>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</x:si>
  <x:si>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</x:si>
  <x:si>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TOTAL</x:t>
  </x:si>
  <x:si>
    <x:t>NOTE</x:t>
  </x:si>
  <x:si>
    <x:t>GA</x:t>
  </x:si>
  <x:si>
    <x:t>HR</x:t>
  </x:si>
  <x:si>
    <x:t>Giá tiền</x:t>
  </x:si>
  <x:si>
    <x:t>Ca trưa</x:t>
  </x:si>
  <x:si>
    <x:t>Ca chiều</x:t>
  </x:si>
  <x:si>
    <x:t>Ca tối</x:t>
  </x:si>
  <x:si>
    <x:t>Ca sáng</x:t>
  </x:si>
  <x:si>
    <x:t>Cơm hàn</x:t>
  </x:si>
  <x:si>
    <x:t>ACC</x:t>
  </x:si>
  <x:si>
    <x:t>EX</x:t>
  </x:si>
  <x:si>
    <x:t>IT</x:t>
  </x:si>
  <x:si>
    <x:t>TỔNG</x:t>
  </x:si>
  <x:si>
    <x:t>HSE</x:t>
  </x:si>
  <x:si>
    <x:t>PUR</x:t>
  </x:si>
  <x:si>
    <x:t xml:space="preserve">QC </x:t>
  </x:si>
  <x:si>
    <x:t>MA</x:t>
  </x:si>
  <x:si>
    <x:t>WH</x:t>
  </x:si>
  <x:si>
    <x:t>3IN1</x:t>
  </x:si>
  <x:si>
    <x:t>VPSX</x:t>
  </x:si>
  <x:si>
    <x:t>VB</x:t>
  </x:si>
  <x:si>
    <x:t>KTSP</x:t>
  </x:si>
  <x:si>
    <x:t>KTSX</x:t>
  </x:si>
  <x:si>
    <x:t>SALE</x:t>
  </x:si>
  <x:si>
    <x:t>KHSX</x:t>
  </x:si>
  <x:si>
    <x:t>DRIVER</x:t>
  </x:si>
  <x:si>
    <x:t>SECURITY</x:t>
  </x:si>
  <x:si>
    <x:t>CHIỀU</x:t>
  </x:si>
  <x:si>
    <x:t>QC</x:t>
  </x:si>
  <x:si>
    <x:t xml:space="preserve"> </x:t>
  </x:si>
  <x:si>
    <x:t>DRI</x:t>
  </x:si>
  <x:si>
    <x:t>THÁNG 08/2026</x:t>
  </x:si>
  <x:si>
    <x:t>ĐÊM</x:t>
  </x:si>
  <x:si>
    <x:t>SEC</x:t>
  </x:si>
  <x:si>
    <x:t>SÁNG</x:t>
  </x:si>
  <x:si>
    <x:t xml:space="preserve">  </x:t>
  </x:si>
  <x:si>
    <x:t>Chủ Nhật</x:t>
  </x:si>
  <x:si>
    <x:t>STT</x:t>
  </x:si>
  <x:si>
    <x:t>Ngày</x:t>
  </x:si>
  <x:si>
    <x:t>Thứ</x:t>
  </x:si>
  <x:si>
    <x:t>Sáng</x:t>
  </x:si>
  <x:si>
    <x:t>Trưa</x:t>
  </x:si>
  <x:si>
    <x:t>Chiều</x:t>
  </x:si>
  <x:si>
    <x:t>Total</x:t>
  </x:si>
  <x:si>
    <x:t>BÁO CƠM TRƯA - CHIỀU HANSOL THÁNG 08/2026</x:t>
  </x:si>
  <x:si>
    <x:t>Thứ Hai</x:t>
  </x:si>
  <x:si>
    <x:t>Thứ Ba</x:t>
  </x:si>
  <x:si>
    <x:t>Thứ Tư</x:t>
  </x:si>
  <x:si>
    <x:t>Thứ Năm</x:t>
  </x:si>
  <x:si>
    <x:t>Thứ Sáu</x:t>
  </x:si>
  <x:si>
    <x:t>Thứ Bảy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</x:si>
</x:sst>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3" formatCode="_(* #,##0.00_);_(* \(#,##0.00\);_(* &quot;-&quot;??_);_(@_)"/>
    <x:numFmt numFmtId="164" formatCode="_(* #,##0_);_(* \(#,##0\);_(* &quot;-&quot;??_);_(@_)"/>
    <x:numFmt numFmtId="165" formatCode="#,##0"/>
    <x:numFmt numFmtId="166" formatCode="dd/MM/yyyy"/>
  </x:numFmts>
  <x:fonts count="27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22"/>
      <x:color theme="1"/>
      <x:name val="Calibri"/>
      <x:family val="2"/>
      <x:scheme val="minor"/>
    </x:font>
    <x:font>
      <x:sz val="40"/>
      <x:color theme="1"/>
      <x:name val="Calibri"/>
      <x:family val="2"/>
      <x:scheme val="minor"/>
    </x:font>
    <x:font>
      <x:b/>
      <x:sz val="11"/>
      <x:color rgb="FFFF0000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6"/>
      <x:color theme="1"/>
      <x:name val="Calibri"/>
      <x:family val="2"/>
      <x:scheme val="minor"/>
    </x:font>
    <x:font>
      <x:sz val="11"/>
      <x:name val="Calibri"/>
      <x:family val="2"/>
      <x:scheme val="minor"/>
    </x:font>
    <x:font>
      <x:b/>
      <x:sz val="15"/>
      <x:color theme="1"/>
      <x:name val="Calibri"/>
      <x:family val="2"/>
      <x:scheme val="minor"/>
    </x:font>
    <x:font>
      <x:sz val="14"/>
      <x:color theme="1"/>
      <x:name val="Times New Roman"/>
      <x:family val="1"/>
    </x:font>
    <x:font>
      <x:sz val="14"/>
      <x:color rgb="FFFF0000"/>
      <x:name val="Times New Roman"/>
      <x:family val="1"/>
    </x:font>
    <x:font>
      <x:sz val="11"/>
      <x:name val="Times New Roman"/>
      <x:family val="1"/>
    </x:font>
    <x:font>
      <x:sz val="11"/>
      <x:color rgb="FFFF0000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4"/>
      <x:name val="Calibri"/>
      <x:family val="2"/>
      <x:scheme val="minor"/>
    </x:font>
    <x:font>
      <x:b/>
      <x:sz val="14"/>
      <x:color theme="1"/>
      <x:name val="Calibri"/>
      <x:family val="2"/>
      <x:scheme val="minor"/>
    </x:font>
    <x:font>
      <x:sz val="8"/>
      <x:name val="Calibri"/>
      <x:family val="2"/>
      <x:scheme val="minor"/>
    </x:font>
    <x:font>
      <x:b/>
      <x:sz val="11"/>
      <x:color rgb="FFFF0000"/>
      <x:name val="Times New Roman"/>
      <x:family val="1"/>
    </x:font>
    <x:font>
      <x:b/>
      <x:sz val="16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2"/>
      <x:color theme="1"/>
      <x:name val="Calibri"/>
      <x:family val="2"/>
      <x:scheme val="minor"/>
    </x:font>
    <x:font>
      <x:b/>
      <x:sz val="11"/>
      <x:name val="Calibri"/>
      <x:family val="2"/>
      <x:scheme val="minor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1"/>
      <x:color rgb="FF000000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9" tint="0.39997558519241921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8" tint="0.59999389629810485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rgb="FFFFFF00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</x:fills>
  <x:borders count="1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8">
    <x:xf numFmtId="0" fontId="0" fillId="0" borderId="0"/>
    <x:xf numFmtId="43" fontId="1" fillId="0" borderId="0" applyFont="0" applyFill="0" applyBorder="0" applyAlignment="0" applyProtection="0"/>
    <x:xf numFmtId="0" fontId="0" fillId="2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49" fontId="15" fillId="0" borderId="4" applyNumberFormat="1" applyFill="1" applyBorder="1" applyAlignment="1" applyProtection="1">
      <x:protection locked="1" hidden="0"/>
    </x:xf>
    <x:xf numFmtId="49" fontId="3" fillId="8" borderId="4" applyNumberFormat="1" applyFill="0" applyBorder="1" applyAlignment="1" applyProtection="1">
      <x:protection locked="1" hidden="0"/>
    </x:xf>
    <x:xf numFmtId="49" fontId="3" fillId="8" borderId="13" applyNumberFormat="1" applyFill="0" applyBorder="1" applyAlignment="1" applyProtection="1">
      <x:protection locked="1" hidden="0"/>
    </x:xf>
    <x:xf numFmtId="49" fontId="3" fillId="9" borderId="13" applyNumberFormat="1" applyFill="0" applyBorder="1" applyAlignment="1" applyProtection="1">
      <x:protection locked="1" hidden="0"/>
    </x:xf>
    <x:xf numFmtId="49" fontId="15" fillId="8" borderId="4" applyNumberFormat="1" applyFill="0" applyBorder="1" applyAlignment="1" applyProtection="1">
      <x:protection locked="1" hidden="0"/>
    </x:xf>
    <x:xf numFmtId="16" fontId="6" fillId="2" borderId="4" applyNumberFormat="1" applyFill="0" applyBorder="1" applyAlignment="1" applyProtection="1">
      <x:protection locked="1" hidden="0"/>
    </x:xf>
    <x:xf numFmtId="16" fontId="3" fillId="2" borderId="4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16" fontId="0" fillId="3" borderId="6" applyNumberFormat="1" applyFill="0" applyBorder="1" applyAlignment="1" applyProtection="1">
      <x:protection locked="1" hidden="0"/>
    </x:xf>
    <x:xf numFmtId="0" fontId="13" fillId="0" borderId="4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9" borderId="4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164" fontId="15" fillId="7" borderId="16" applyNumberFormat="1" applyFill="0" applyBorder="1" applyAlignment="1" applyProtection="1">
      <x:protection locked="1" hidden="0"/>
    </x:xf>
    <x:xf numFmtId="164" fontId="3" fillId="7" borderId="16" applyNumberFormat="1" applyFill="0" applyBorder="1" applyAlignment="1" applyProtection="1">
      <x:protection locked="1" hidden="0"/>
    </x:xf>
    <x:xf numFmtId="16" fontId="3" fillId="7" borderId="16" applyNumberFormat="1" applyFill="0" applyBorder="1" applyAlignment="1" applyProtection="1">
      <x:protection locked="1" hidden="0"/>
    </x:xf>
    <x:xf numFmtId="165" fontId="15" fillId="0" borderId="16" applyNumberFormat="1" applyFill="1" applyBorder="1" applyAlignment="1" applyProtection="1">
      <x:protection locked="1" hidden="0"/>
    </x:xf>
    <x:xf numFmtId="165" fontId="7" fillId="0" borderId="16" applyNumberFormat="1" applyFill="1" applyBorder="1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65" fontId="0" fillId="0" borderId="16" applyNumberFormat="1" applyFill="1" applyBorder="1" applyAlignment="1" applyProtection="1">
      <x:protection locked="1" hidden="0"/>
    </x:xf>
    <x:xf numFmtId="165" fontId="19" fillId="0" borderId="16" applyNumberFormat="1" applyFill="1" applyBorder="1" applyAlignment="1" applyProtection="1">
      <x:protection locked="1" hidden="0"/>
    </x:xf>
    <x:xf numFmtId="165" fontId="6" fillId="0" borderId="16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9" borderId="4" applyNumberFormat="1" applyFill="0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1" fontId="7" fillId="0" borderId="0" applyNumberFormat="1" applyFill="1" applyBorder="0" applyAlignment="1" applyProtection="1">
      <x:protection locked="1" hidden="0"/>
    </x:xf>
    <x:xf numFmtId="2" fontId="3" fillId="0" borderId="0" applyNumberFormat="1" applyFill="1" applyBorder="0" applyAlignment="1" applyProtection="1">
      <x:protection locked="1" hidden="0"/>
    </x:xf>
    <x:xf numFmtId="0" fontId="0" fillId="0" borderId="4" quotePrefix="1" applyNumberFormat="1" applyFill="1" applyBorder="1" applyAlignment="1" applyProtection="1">
      <x:protection locked="1" hidden="0"/>
    </x:xf>
    <x:xf numFmtId="0" fontId="0" fillId="9" borderId="4" quotePrefix="1" applyNumberFormat="1" applyFill="0" applyBorder="1" applyAlignment="1" applyProtection="1">
      <x:protection locked="1" hidden="0"/>
    </x:xf>
    <x:xf numFmtId="16" fontId="7" fillId="0" borderId="0" applyNumberFormat="1" applyFill="1" applyBorder="0" applyAlignment="1" applyProtection="1">
      <x:protection locked="1" hidden="0"/>
    </x:xf>
    <x:xf numFmtId="16" fontId="0" fillId="0" borderId="0" applyNumberFormat="1" applyFill="1" applyBorder="0" applyAlignment="1" applyProtection="1">
      <x:protection locked="1" hidden="0"/>
    </x:xf>
    <x:xf numFmtId="0" fontId="13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16" fontId="6" fillId="4" borderId="6" applyNumberFormat="1" applyFill="0" applyBorder="1" applyAlignment="1" applyProtection="1">
      <x:protection locked="1" hidden="0"/>
    </x:xf>
    <x:xf numFmtId="0" fontId="2" fillId="4" borderId="4" applyNumberFormat="1" applyFill="0" applyBorder="1" applyAlignment="1" applyProtection="1">
      <x:protection locked="1" hidden="0"/>
    </x:xf>
    <x:xf numFmtId="0" fontId="2" fillId="9" borderId="4" applyNumberFormat="1" applyFill="0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16" fontId="0" fillId="5" borderId="6" applyNumberFormat="1" applyFill="0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43" fontId="0" fillId="0" borderId="0" applyNumberFormat="1" applyFill="1" applyBorder="0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5" fillId="0" borderId="15" applyNumberFormat="1" applyFill="1" applyBorder="1" applyAlignment="1" applyProtection="1">
      <x:protection locked="1" hidden="0"/>
    </x:xf>
    <x:xf numFmtId="0" fontId="6" fillId="4" borderId="4" applyNumberFormat="1" applyFill="0" applyBorder="1" applyAlignment="1" applyProtection="1">
      <x:protection locked="1" hidden="0"/>
    </x:xf>
    <x:xf numFmtId="0" fontId="0" fillId="4" borderId="4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49" fontId="3" fillId="9" borderId="4" applyNumberFormat="1" applyFill="0" applyBorder="1" applyAlignment="1" applyProtection="1">
      <x:protection locked="1" hidden="0"/>
    </x:xf>
    <x:xf numFmtId="49" fontId="23" fillId="8" borderId="4" applyNumberFormat="1" applyFill="0" applyBorder="1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0" fillId="9" borderId="0" applyNumberFormat="1" applyFill="0" applyBorder="0" applyAlignment="1" applyProtection="1">
      <x:protection locked="1" hidden="0"/>
    </x:xf>
    <x:xf numFmtId="0" fontId="16" fillId="4" borderId="9" applyNumberFormat="1" applyFill="0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16" fillId="4" borderId="0" applyNumberFormat="1" applyFill="0" applyBorder="0" applyAlignment="1" applyProtection="1">
      <x:protection locked="1" hidden="0"/>
    </x:xf>
    <x:xf numFmtId="0" fontId="0" fillId="6" borderId="4" applyNumberFormat="1" applyFill="0" applyBorder="1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5" fillId="0" borderId="11" applyNumberFormat="1" applyFill="1" applyBorder="1" applyAlignment="1" applyProtection="1">
      <x:protection locked="1" hidden="0"/>
    </x:xf>
    <x:xf numFmtId="0" fontId="3" fillId="4" borderId="4" applyNumberFormat="1" applyFill="0" applyBorder="1" applyAlignment="1" applyProtection="1">
      <x:protection locked="1" hidden="0"/>
    </x:xf>
    <x:xf numFmtId="0" fontId="17" fillId="4" borderId="14" applyNumberFormat="1" applyFill="0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164" fontId="11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20" fillId="4" borderId="3" applyNumberFormat="1" applyFill="0" applyBorder="1" applyAlignment="1" applyProtection="1">
      <x:protection locked="1" hidden="0"/>
    </x:xf>
    <x:xf numFmtId="0" fontId="21" fillId="4" borderId="16" applyNumberFormat="1" applyFill="0" applyBorder="1" applyAlignment="1" applyProtection="1">
      <x:protection locked="1" hidden="0"/>
    </x:xf>
    <x:xf numFmtId="14" fontId="21" fillId="4" borderId="16" applyNumberFormat="1" applyFill="0" applyBorder="1" applyAlignment="1" applyProtection="1">
      <x:protection locked="1" hidden="0"/>
    </x:xf>
    <x:xf numFmtId="0" fontId="7" fillId="10" borderId="16" applyNumberFormat="1" applyFill="0" applyBorder="1" applyAlignment="1" applyProtection="1">
      <x:protection locked="1" hidden="0"/>
    </x:xf>
    <x:xf numFmtId="166" fontId="7" fillId="10" borderId="16" applyNumberFormat="1" applyFill="0" applyBorder="1" applyAlignment="1" applyProtection="1">
      <x:protection locked="1" hidden="0"/>
    </x:xf>
    <x:xf numFmtId="14" fontId="7" fillId="10" borderId="16" applyNumberFormat="1" applyFill="0" applyBorder="1" applyAlignment="1" applyProtection="1">
      <x:protection locked="1" hidden="0"/>
    </x:xf>
    <x:xf numFmtId="0" fontId="7" fillId="11" borderId="16" applyNumberFormat="1" applyFill="0" applyBorder="1" applyAlignment="1" applyProtection="1">
      <x:protection locked="1" hidden="0"/>
    </x:xf>
    <x:xf numFmtId="166" fontId="7" fillId="11" borderId="16" applyNumberFormat="1" applyFill="0" applyBorder="1" applyAlignment="1" applyProtection="1">
      <x:protection locked="1" hidden="0"/>
    </x:xf>
    <x:xf numFmtId="14" fontId="7" fillId="11" borderId="16" applyNumberFormat="1" applyFill="0" applyBorder="1" applyAlignment="1" applyProtection="1">
      <x:protection locked="1" hidden="0"/>
    </x:xf>
    <x:xf numFmtId="0" fontId="19" fillId="4" borderId="16" applyNumberFormat="1" applyFill="0" applyBorder="1" applyAlignment="1" applyProtection="1">
      <x:protection locked="1" hidden="0"/>
    </x:xf>
    <x:xf numFmtId="164" fontId="15" fillId="4" borderId="16" applyNumberFormat="1" applyFill="0" applyBorder="1" applyAlignment="1" applyProtection="1">
      <x:protection locked="1" hidden="0"/>
    </x:xf>
  </x:cellStyleXfs>
  <x:cellXfs count="176">
    <x:xf numFmtId="0" fontId="0" fillId="0" borderId="0" xfId="0"/>
    <x:xf numFmtId="0" fontId="4" fillId="0" borderId="0" xfId="0" applyFont="1" applyAlignment="1"/>
    <x:xf numFmtId="0" fontId="0" fillId="0" borderId="0" xfId="0" applyAlignment="1">
      <x:alignment horizontal="center" vertical="center"/>
    </x:xf>
    <x:xf numFmtId="164" fontId="0" fillId="0" borderId="0" xfId="1" applyNumberFormat="1" applyFont="1"/>
    <x:xf numFmtId="0" fontId="3" fillId="2" borderId="3" xfId="0" applyFont="1" applyFill="1" applyBorder="1" applyAlignment="1">
      <x:alignment horizontal="center" vertical="center"/>
    </x:xf>
    <x:xf numFmtId="16" fontId="6" fillId="2" borderId="4" xfId="0" applyNumberFormat="1" applyFont="1" applyFill="1" applyBorder="1" applyAlignment="1">
      <x:alignment horizontal="center" vertical="center" wrapText="1"/>
    </x:xf>
    <x:xf numFmtId="16" fontId="3" fillId="2" borderId="4" xfId="0" applyNumberFormat="1" applyFont="1" applyFill="1" applyBorder="1" applyAlignment="1">
      <x:alignment horizontal="center" vertical="center" wrapText="1"/>
    </x:xf>
    <x:xf numFmtId="16" fontId="0" fillId="3" borderId="6" xfId="0" applyNumberFormat="1" applyFill="1" applyBorder="1"/>
    <x:xf numFmtId="0" fontId="0" fillId="0" borderId="4" xfId="0" applyFill="1" applyBorder="1"/>
    <x:xf numFmtId="0" fontId="2" fillId="0" borderId="4" xfId="0" applyFont="1" applyBorder="1"/>
    <x:xf numFmtId="0" fontId="0" fillId="0" borderId="4" xfId="0" applyBorder="1"/>
    <x:xf numFmtId="0" fontId="0" fillId="2" borderId="0" xfId="0" applyFill="1"/>
    <x:xf numFmtId="164" fontId="0" fillId="2" borderId="0" xfId="1" applyNumberFormat="1" applyFont="1" applyFill="1"/>
    <x:xf numFmtId="0" fontId="0" fillId="0" borderId="0" xfId="0" applyBorder="1"/>
    <x:xf numFmtId="0" fontId="7" fillId="0" borderId="0" xfId="0" applyFont="1" applyBorder="1" applyAlignment="1">
      <x:alignment horizontal="center" vertical="center"/>
    </x:xf>
    <x:xf numFmtId="0" fontId="7" fillId="0" borderId="0" xfId="0" applyFont="1" applyBorder="1"/>
    <x:xf numFmtId="164" fontId="7" fillId="0" borderId="0" xfId="1" applyNumberFormat="1" applyFont="1" applyBorder="1"/>
    <x:xf numFmtId="0" fontId="0" fillId="0" borderId="0" xfId="0" applyBorder="1" applyAlignment="1">
      <x:alignment horizontal="center"/>
    </x:xf>
    <x:xf numFmtId="16" fontId="6" fillId="4" borderId="6" xfId="0" applyNumberFormat="1" applyFont="1" applyFill="1" applyBorder="1"/>
    <x:xf numFmtId="0" fontId="2" fillId="4" borderId="4" xfId="0" applyFont="1" applyFill="1" applyBorder="1"/>
    <x:xf numFmtId="0" fontId="8" fillId="0" borderId="0" xfId="0" applyFont="1"/>
    <x:xf numFmtId="0" fontId="5" fillId="0" borderId="8" xfId="0" applyFont="1" applyBorder="1" applyAlignment="1">
      <x:alignment horizontal="center" vertical="center" textRotation="90"/>
    </x:xf>
    <x:xf numFmtId="16" fontId="0" fillId="5" borderId="6" xfId="0" applyNumberFormat="1" applyFill="1" applyBorder="1"/>
    <x:xf numFmtId="0" fontId="0" fillId="0" borderId="0" xfId="0" applyFill="1"/>
    <x:xf numFmtId="0" fontId="0" fillId="0" borderId="0" xfId="0" applyFill="1" applyBorder="1"/>
    <x:xf numFmtId="0" fontId="0" fillId="0" borderId="10" xfId="0" applyFill="1" applyBorder="1"/>
    <x:xf numFmtId="0" fontId="10" fillId="0" borderId="0" xfId="0" applyFont="1"/>
    <x:xf numFmtId="0" fontId="11" fillId="0" borderId="0" xfId="0" applyFont="1" applyAlignment="1">
      <x:alignment horizontal="center" vertical="center"/>
    </x:xf>
    <x:xf numFmtId="0" fontId="12" fillId="0" borderId="0" xfId="0" applyFont="1"/>
    <x:xf numFmtId="0" fontId="11" fillId="0" borderId="0" xfId="0" applyFont="1"/>
    <x:xf numFmtId="164" fontId="11" fillId="0" borderId="0" xfId="1" applyNumberFormat="1" applyFont="1"/>
    <x:xf numFmtId="16" fontId="0" fillId="0" borderId="0" xfId="0" applyNumberFormat="1"/>
    <x:xf numFmtId="0" fontId="0" fillId="6" borderId="0" xfId="0" applyFill="1"/>
    <x:xf numFmtId="43" fontId="0" fillId="0" borderId="0" xfId="1" applyFont="1"/>
    <x:xf numFmtId="0" fontId="2" fillId="0" borderId="4" xfId="0" applyFont="1" applyFill="1" applyBorder="1"/>
    <x:xf numFmtId="0" fontId="0" fillId="0" borderId="4" xfId="0" applyFont="1" applyFill="1" applyBorder="1"/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2" borderId="0" xfId="0" applyFont="1" applyFill="1"/>
    <x:xf numFmtId="0" fontId="3" fillId="0" borderId="4" xfId="0" applyFont="1" applyFill="1" applyBorder="1"/>
    <x:xf numFmtId="0" fontId="0" fillId="2" borderId="0" xfId="0" applyFont="1" applyFill="1" applyBorder="1"/>
    <x:xf numFmtId="0" fontId="0" fillId="2" borderId="0" xfId="0" applyFill="1" applyBorder="1"/>
    <x:xf numFmtId="0" fontId="7" fillId="0" borderId="0" xfId="0" applyFont="1" applyBorder="1" applyAlignment="1">
      <x:alignment horizontal="left" vertical="center"/>
    </x:xf>
    <x:xf numFmtId="0" fontId="7" fillId="0" borderId="0" xfId="0" applyFont="1" applyBorder="1" applyAlignment="1">
      <x:alignment horizontal="center"/>
    </x:xf>
    <x:xf numFmtId="0" fontId="7" fillId="0" borderId="0" xfId="0" applyFont="1" applyFill="1" applyBorder="1" applyAlignment="1">
      <x:alignment horizontal="left" vertical="center"/>
    </x:xf>
    <x:xf numFmtId="0" fontId="7" fillId="0" borderId="0" xfId="0" applyFont="1" applyFill="1" applyBorder="1" applyAlignment="1">
      <x:alignment horizontal="center"/>
    </x:xf>
    <x:xf numFmtId="0" fontId="11" fillId="0" borderId="0" xfId="0" applyFont="1" applyAlignment="1">
      <x:alignment vertical="center"/>
    </x:xf>
    <x:xf numFmtId="0" fontId="15" fillId="0" borderId="0" xfId="0" applyFont="1" applyBorder="1" applyAlignment="1">
      <x:alignment horizontal="center"/>
    </x:xf>
    <x:xf numFmtId="0" fontId="7" fillId="0" borderId="4" xfId="0" applyFont="1" applyFill="1" applyBorder="1" applyAlignment="1">
      <x:alignment vertical="center"/>
    </x:xf>
    <x:xf numFmtId="0" fontId="0" fillId="0" borderId="4" xfId="0" quotePrefix="1" applyFill="1" applyBorder="1"/>
    <x:xf numFmtId="0" fontId="0" fillId="0" borderId="4" xfId="0" applyFont="1" applyFill="1" applyBorder="1" applyAlignment="1">
      <x:alignment vertical="center"/>
    </x:xf>
    <x:xf numFmtId="0" fontId="0" fillId="0" borderId="4" xfId="0" applyFill="1" applyBorder="1" applyAlignment="1">
      <x:alignment vertical="center"/>
    </x:xf>
    <x:xf numFmtId="0" fontId="0" fillId="6" borderId="0" xfId="0" applyFill="1" applyBorder="1"/>
    <x:xf numFmtId="164" fontId="0" fillId="0" borderId="0" xfId="1" applyNumberFormat="1" applyFont="1" applyBorder="1"/>
    <x:xf numFmtId="164" fontId="0" fillId="0" borderId="0" xfId="0" applyNumberFormat="1" applyBorder="1"/>
    <x:xf numFmtId="43" fontId="0" fillId="0" borderId="0" xfId="0" applyNumberFormat="1" applyBorder="1"/>
    <x:xf numFmtId="164" fontId="0" fillId="0" borderId="0" xfId="1" applyNumberFormat="1" applyFont="1" applyFill="1"/>
    <x:xf numFmtId="1" fontId="7" fillId="0" borderId="0" xfId="0" applyNumberFormat="1" applyFont="1" applyBorder="1"/>
    <x:xf numFmtId="16" fontId="7" fillId="0" borderId="0" xfId="0" applyNumberFormat="1" applyFont="1" applyBorder="1"/>
    <x:xf numFmtId="0" fontId="9" fillId="0" borderId="4" xfId="0" applyFont="1" applyFill="1" applyBorder="1"/>
    <x:xf numFmtId="0" fontId="2" fillId="0" borderId="0" xfId="0" applyFont="1"/>
    <x:xf numFmtId="0" fontId="14" fillId="0" borderId="0" xfId="0" applyFont="1" applyBorder="1" applyAlignment="1">
      <x:alignment horizontal="center" vertical="center"/>
    </x:xf>
    <x:xf numFmtId="0" fontId="16" fillId="4" borderId="9" xfId="0" applyFont="1" applyFill="1" applyBorder="1"/>
    <x:xf numFmtId="0" fontId="17" fillId="4" borderId="14" xfId="0" applyNumberFormat="1" applyFont="1" applyFill="1" applyBorder="1" applyAlignment="1">
      <x:alignment horizontal="center" vertical="center" wrapText="1"/>
    </x:xf>
    <x:xf numFmtId="0" fontId="13" fillId="0" borderId="4" xfId="0" applyFont="1" applyFill="1" applyBorder="1"/>
    <x:xf numFmtId="0" fontId="13" fillId="0" borderId="4" xfId="0" applyFont="1" applyFill="1" applyBorder="1" applyAlignment="1">
      <x:alignment vertical="center"/>
    </x:xf>
    <x:xf numFmtId="0" fontId="9" fillId="0" borderId="10" xfId="0" applyFont="1" applyFill="1" applyBorder="1"/>
    <x:xf numFmtId="49" fontId="15" fillId="0" borderId="4" xfId="0" applyNumberFormat="1" applyFont="1" applyFill="1" applyBorder="1" applyAlignment="1">
      <x:alignment horizontal="center" vertical="center" wrapText="1"/>
    </x:xf>
    <x:xf numFmtId="0" fontId="13" fillId="0" borderId="6" xfId="0" applyFont="1" applyFill="1" applyBorder="1"/>
    <x:xf numFmtId="0" fontId="6" fillId="4" borderId="4" xfId="0" applyNumberFormat="1" applyFont="1" applyFill="1" applyBorder="1" applyAlignment="1">
      <x:alignment horizontal="center" vertical="center" wrapText="1"/>
    </x:xf>
    <x:xf numFmtId="0" fontId="0" fillId="4" borderId="4" xfId="0" applyNumberFormat="1" applyFont="1" applyFill="1" applyBorder="1" applyAlignment="1">
      <x:alignment horizontal="center" vertical="center" wrapText="1"/>
    </x:xf>
    <x:xf numFmtId="0" fontId="0" fillId="4" borderId="4" xfId="0" applyNumberForma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0" fontId="0" fillId="6" borderId="4" xfId="0" applyFill="1" applyBorder="1"/>
    <x:xf numFmtId="0" fontId="19" fillId="4" borderId="4" xfId="0" applyFont="1" applyFill="1" applyBorder="1" applyAlignment="1">
      <x:alignment horizontal="center" vertical="center"/>
    </x:xf>
    <x:xf numFmtId="164" fontId="15" fillId="4" borderId="4" xfId="1" applyNumberFormat="1" applyFont="1" applyFill="1" applyBorder="1" applyAlignment="1">
      <x:alignment vertical="center"/>
    </x:xf>
    <x:xf numFmtId="0" fontId="7" fillId="0" borderId="4" xfId="0" applyFont="1" applyFill="1" applyBorder="1" applyAlignment="1">
      <x:alignment horizontal="center" vertical="center"/>
    </x:xf>
    <x:xf numFmtId="0" fontId="21" fillId="4" borderId="10" xfId="0" applyFont="1" applyFill="1" applyBorder="1" applyAlignment="1">
      <x:alignment horizontal="center" vertical="center"/>
    </x:xf>
    <x:xf numFmtId="14" fontId="21" fillId="4" borderId="10" xfId="0" applyNumberFormat="1" applyFont="1" applyFill="1" applyBorder="1" applyAlignment="1">
      <x:alignment horizontal="center" vertical="center"/>
    </x:xf>
    <x:xf numFmtId="0" fontId="21" fillId="4" borderId="6" xfId="0" applyFont="1" applyFill="1" applyBorder="1" applyAlignment="1">
      <x:alignment horizontal="center" vertical="center"/>
    </x:xf>
    <x:xf numFmtId="0" fontId="22" fillId="0" borderId="0" xfId="0" applyFont="1"/>
    <x:xf numFmtId="14" fontId="7" fillId="0" borderId="4" xfId="0" applyNumberFormat="1" applyFont="1" applyFill="1" applyBorder="1" applyAlignment="1">
      <x:alignment horizontal="center" vertical="center"/>
    </x:xf>
    <x:xf numFmtId="2" fontId="0" fillId="0" borderId="0" xfId="0" applyNumberFormat="1"/>
    <x:xf numFmtId="0" fontId="0" fillId="0" borderId="10" xfId="0" applyBorder="1"/>
    <x:xf numFmtId="2" fontId="0" fillId="0" borderId="0" xfId="0" applyNumberFormat="1" applyBorder="1"/>
    <x:xf numFmtId="2" fontId="3" fillId="0" borderId="0" xfId="0" applyNumberFormat="1" applyFont="1" applyFill="1" applyBorder="1"/>
    <x:xf numFmtId="164" fontId="0" fillId="0" borderId="4" xfId="1" applyNumberFormat="1" applyFont="1" applyBorder="1"/>
    <x:xf numFmtId="164" fontId="7" fillId="0" borderId="4" xfId="1" applyNumberFormat="1" applyFont="1" applyFill="1" applyBorder="1"/>
    <x:xf numFmtId="164" fontId="15" fillId="0" borderId="4" xfId="1" applyNumberFormat="1" applyFont="1" applyBorder="1"/>
    <x:xf numFmtId="0" fontId="19" fillId="0" borderId="4" xfId="0" applyFont="1" applyBorder="1" applyAlignment="1">
      <x:alignment horizontal="center"/>
    </x:xf>
    <x:xf numFmtId="164" fontId="6" fillId="0" borderId="4" xfId="1" applyNumberFormat="1" applyFont="1" applyBorder="1" applyAlignment="1">
      <x:alignment horizontal="center"/>
    </x:xf>
    <x:xf numFmtId="164" fontId="15" fillId="7" borderId="4" xfId="1" applyNumberFormat="1" applyFont="1" applyFill="1" applyBorder="1" applyAlignment="1">
      <x:alignment horizontal="center" vertical="center"/>
    </x:xf>
    <x:xf numFmtId="164" fontId="3" fillId="7" borderId="4" xfId="1" applyNumberFormat="1" applyFont="1" applyFill="1" applyBorder="1" applyAlignment="1">
      <x:alignment horizontal="center" vertical="center"/>
    </x:xf>
    <x:xf numFmtId="16" fontId="3" fillId="7" borderId="4" xfId="0" applyNumberFormat="1" applyFont="1" applyFill="1" applyBorder="1" applyAlignment="1">
      <x:alignment horizontal="center" vertical="center"/>
    </x:xf>
    <x:xf numFmtId="0" fontId="7" fillId="8" borderId="4" xfId="0" applyFont="1" applyFill="1" applyBorder="1" applyAlignment="1">
      <x:alignment horizontal="center" vertical="center"/>
    </x:xf>
    <x:xf numFmtId="14" fontId="7" fillId="8" borderId="4" xfId="0" applyNumberFormat="1" applyFont="1" applyFill="1" applyBorder="1" applyAlignment="1">
      <x:alignment horizontal="center" vertical="center"/>
    </x:xf>
    <x:xf numFmtId="0" fontId="5" fillId="0" borderId="8" xfId="0" applyFont="1" applyBorder="1" applyAlignment="1">
      <x:alignment horizontal="center" vertical="center" textRotation="90"/>
    </x:xf>
    <x:xf numFmtId="49" fontId="3" fillId="8" borderId="4" xfId="0" applyNumberFormat="1" applyFont="1" applyFill="1" applyBorder="1" applyAlignment="1">
      <x:alignment horizontal="center" vertical="center" wrapText="1"/>
    </x:xf>
    <x:xf numFmtId="49" fontId="3" fillId="8" borderId="13" xfId="0" applyNumberFormat="1" applyFont="1" applyFill="1" applyBorder="1" applyAlignment="1">
      <x:alignment horizontal="center" vertical="center" wrapText="1"/>
    </x:xf>
    <x:xf numFmtId="49" fontId="15" fillId="8" borderId="4" xfId="0" applyNumberFormat="1" applyFont="1" applyFill="1" applyBorder="1" applyAlignment="1">
      <x:alignment horizontal="center" vertical="center" wrapText="1"/>
    </x:xf>
    <x:xf numFmtId="49" fontId="23" fillId="8" borderId="4" xfId="0" applyNumberFormat="1" applyFont="1" applyFill="1" applyBorder="1" applyAlignment="1">
      <x:alignment horizontal="center" vertical="center" wrapText="1"/>
    </x:xf>
    <x:xf numFmtId="0" fontId="16" fillId="4" borderId="0" xfId="0" applyFont="1" applyFill="1" applyBorder="1"/>
    <x:xf numFmtId="0" fontId="5" fillId="0" borderId="2" xfId="0" applyFont="1" applyBorder="1" applyAlignment="1">
      <x:alignment horizontal="center" vertical="center" textRotation="90"/>
    </x:xf>
    <x:xf numFmtId="0" fontId="5" fillId="0" borderId="5" xfId="0" applyFont="1" applyBorder="1" applyAlignment="1">
      <x:alignment horizontal="center" vertical="center" textRotation="90"/>
    </x:xf>
    <x:xf numFmtId="0" fontId="5" fillId="0" borderId="7" xfId="0" applyFont="1" applyBorder="1" applyAlignment="1">
      <x:alignment horizontal="center" vertical="center" textRotation="90"/>
    </x:xf>
    <x:xf numFmtId="0" fontId="5" fillId="0" borderId="8" xfId="0" applyFont="1" applyBorder="1" applyAlignment="1">
      <x:alignment horizontal="center" vertical="center" textRotation="90"/>
    </x:xf>
    <x:xf numFmtId="0" fontId="5" fillId="0" borderId="15" xfId="0" applyFont="1" applyBorder="1" applyAlignment="1">
      <x:alignment horizontal="center" vertical="center" textRotation="90"/>
    </x:xf>
    <x:xf numFmtId="0" fontId="4" fillId="0" borderId="0" xfId="0" applyFont="1" applyBorder="1" applyAlignment="1">
      <x:alignment horizontal="center"/>
    </x:xf>
    <x:xf numFmtId="164" fontId="6" fillId="0" borderId="4" xfId="1" applyNumberFormat="1" applyFont="1" applyBorder="1" applyAlignment="1">
      <x:alignment horizontal="center"/>
    </x:xf>
    <x:xf numFmtId="0" fontId="4" fillId="0" borderId="1" xfId="0" applyFont="1" applyBorder="1" applyAlignment="1">
      <x:alignment horizontal="center"/>
    </x:xf>
    <x:xf numFmtId="0" fontId="5" fillId="0" borderId="12" xfId="0" applyFont="1" applyBorder="1" applyAlignment="1">
      <x:alignment horizontal="center" vertical="center" textRotation="90"/>
    </x:xf>
    <x:xf numFmtId="0" fontId="5" fillId="0" borderId="11" xfId="0" applyFont="1" applyBorder="1" applyAlignment="1">
      <x:alignment horizontal="center" vertical="center" textRotation="90"/>
    </x:xf>
    <x:xf numFmtId="0" fontId="11" fillId="0" borderId="0" xfId="0" applyFont="1" applyAlignment="1">
      <x:alignment horizontal="left" vertical="center"/>
    </x:xf>
    <x:xf numFmtId="0" fontId="19" fillId="4" borderId="4" xfId="0" applyFont="1" applyFill="1" applyBorder="1" applyAlignment="1">
      <x:alignment horizontal="center" vertical="center"/>
    </x:xf>
    <x:xf numFmtId="0" fontId="20" fillId="4" borderId="3" xfId="0" applyFont="1" applyFill="1" applyBorder="1" applyAlignment="1">
      <x:alignment horizontal="center" vertical="center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3" fillId="8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3" fillId="8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3" fillId="9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5" fillId="8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" fontId="6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" fontId="3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" fontId="0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5" fillId="7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3" fillId="7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" fontId="3" fillId="7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7" fillId="0" borderId="1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15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0" borderId="1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9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4" xfId="0" quotePrefix="1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" fontId="6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9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" fontId="0" fillId="5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3" fillId="9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23" fillId="8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4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4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0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2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10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7" fillId="10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10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11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7" fillId="11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11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5" fillId="4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Comma" xfId="1" builtinId="3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38100</xdr:colOff>
      <xdr:row>46</xdr:row>
      <xdr:rowOff>85725</xdr:rowOff>
    </xdr:from>
    <xdr:ext cx="9344025" cy="3629025"/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9344025" cy="3629025"/>
        </a:xfrm>
        <a:prstGeom prst="rect"/>
      </xdr:spPr>
    </xdr:pic>
    <xdr:clientData/>
  </xdr:oneCellAnchor>
  <xdr:oneCellAnchor>
    <xdr:from>
      <xdr:col>37</xdr:col>
      <xdr:colOff>228600</xdr:colOff>
      <xdr:row>46</xdr:row>
      <xdr:rowOff>228600</xdr:rowOff>
    </xdr:from>
    <xdr:ext cx="4438650" cy="3552825"/>
    <xdr:pic>
      <xdr:nvPicPr>
        <xdr:cNvPr id="2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438650" cy="35528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>
    <x:tabColor theme="7" tint="0.7999816888943144"/>
    <x:outlinePr summaryBelow="1" summaryRight="1"/>
  </x:sheetPr>
  <x:dimension ref="A1:AW56"/>
  <x:sheetViews>
    <x:sheetView tabSelected="1" zoomScale="85" zoomScaleNormal="85" zoomScaleSheetLayoutView="115"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6.425781" style="0" customWidth="1"/>
    <x:col min="2" max="2" width="12.140625" style="0" bestFit="1" customWidth="1"/>
    <x:col min="3" max="3" width="4.710938" style="114" customWidth="1"/>
    <x:col min="4" max="8" width="4.570312" style="114" customWidth="1"/>
    <x:col min="9" max="10" width="4.425781" style="114" customWidth="1"/>
    <x:col min="11" max="11" width="4.425781" style="0" customWidth="1"/>
    <x:col min="12" max="12" width="4.855469" style="114" customWidth="1"/>
    <x:col min="13" max="13" width="4.710938" style="114" customWidth="1"/>
    <x:col min="14" max="14" width="4.710938" style="0" customWidth="1"/>
    <x:col min="15" max="15" width="4.425781" style="0" customWidth="1"/>
    <x:col min="16" max="16" width="4.710938" style="114" customWidth="1"/>
    <x:col min="17" max="17" width="4.570312" style="114" customWidth="1"/>
    <x:col min="18" max="18" width="4.710938" style="114" customWidth="1"/>
    <x:col min="19" max="19" width="4.855469" style="114" customWidth="1"/>
    <x:col min="20" max="21" width="4.570312" style="114" customWidth="1"/>
    <x:col min="22" max="22" width="5" style="114" customWidth="1"/>
    <x:col min="23" max="24" width="4.855469" style="114" customWidth="1"/>
    <x:col min="25" max="26" width="4.570312" style="114" customWidth="1"/>
    <x:col min="27" max="27" width="5.140625" style="0" customWidth="1"/>
    <x:col min="28" max="28" width="4.285156" style="114" customWidth="1"/>
    <x:col min="29" max="29" width="4.570312" style="115" customWidth="1"/>
    <x:col min="30" max="31" width="4.570312" style="114" customWidth="1"/>
    <x:col min="32" max="33" width="4.710938" style="114" customWidth="1"/>
    <x:col min="34" max="34" width="9.140625" style="0" customWidth="1"/>
    <x:col min="35" max="35" width="13.425781" style="0" customWidth="1"/>
    <x:col min="36" max="36" width="9" style="0" customWidth="1"/>
    <x:col min="37" max="37" width="11.140625" style="0" customWidth="1"/>
    <x:col min="38" max="39" width="12.710938" style="0" customWidth="1"/>
    <x:col min="40" max="43" width="13" style="0" customWidth="1"/>
    <x:col min="44" max="44" width="13.425781" style="0" customWidth="1"/>
    <x:col min="45" max="45" width="11" style="0" customWidth="1"/>
  </x:cols>
  <x:sheetData>
    <x:row r="1" spans="1:49" ht="29.25" customHeight="1" x14ac:dyDescent="0.5">
      <x:c r="A1" s="116" t="s">
        <x:v>79</x:v>
      </x:c>
      <x:c r="B1" s="116"/>
      <x:c r="C1" s="116"/>
      <x:c r="D1" s="116"/>
      <x:c r="E1" s="116"/>
      <x:c r="F1" s="116"/>
      <x:c r="G1" s="116"/>
      <x:c r="H1" s="116"/>
      <x:c r="I1" s="116"/>
      <x:c r="J1" s="116"/>
      <x:c r="K1" s="116"/>
      <x:c r="L1" s="116"/>
      <x:c r="M1" s="116"/>
      <x:c r="N1" s="116"/>
      <x:c r="O1" s="116"/>
      <x:c r="P1" s="116"/>
      <x:c r="Q1" s="116"/>
      <x:c r="R1" s="116"/>
      <x:c r="S1" s="116"/>
      <x:c r="T1" s="116"/>
      <x:c r="U1" s="116"/>
      <x:c r="V1" s="116"/>
      <x:c r="W1" s="116"/>
      <x:c r="X1" s="116"/>
      <x:c r="Y1" s="116"/>
      <x:c r="Z1" s="116"/>
      <x:c r="AA1" s="116"/>
      <x:c r="AB1" s="116"/>
      <x:c r="AC1" s="116"/>
      <x:c r="AD1" s="116"/>
      <x:c r="AE1" s="116"/>
      <x:c r="AF1" s="116"/>
      <x:c r="AG1" s="116"/>
      <x:c r="AH1" s="116"/>
      <x:c r="AI1" s="116"/>
      <x:c r="AJ1" s="1"/>
    </x:row>
    <x:row r="2" spans="1:49" x14ac:dyDescent="0.25">
      <x:c r="A2" s="101" t="s">
        <x:v>1</x:v>
      </x:c>
      <x:c r="B2" s="117" t="s">
        <x:v>2</x:v>
      </x:c>
      <x:c r="C2" s="66" t="s">
        <x:v>3</x:v>
      </x:c>
      <x:c r="D2" s="118" t="s">
        <x:v>4</x:v>
      </x:c>
      <x:c r="E2" s="119" t="s">
        <x:v>5</x:v>
      </x:c>
      <x:c r="F2" s="119" t="s">
        <x:v>6</x:v>
      </x:c>
      <x:c r="G2" s="119" t="s">
        <x:v>7</x:v>
      </x:c>
      <x:c r="H2" s="119" t="s">
        <x:v>8</x:v>
      </x:c>
      <x:c r="I2" s="119" t="s">
        <x:v>9</x:v>
      </x:c>
      <x:c r="J2" s="119" t="s">
        <x:v>10</x:v>
      </x:c>
      <x:c r="K2" s="119" t="s">
        <x:v>11</x:v>
      </x:c>
      <x:c r="L2" s="119" t="s">
        <x:v>12</x:v>
      </x:c>
      <x:c r="M2" s="120" t="s">
        <x:v>13</x:v>
      </x:c>
      <x:c r="N2" s="119" t="s">
        <x:v>14</x:v>
      </x:c>
      <x:c r="O2" s="119" t="s">
        <x:v>15</x:v>
      </x:c>
      <x:c r="P2" s="119" t="s">
        <x:v>16</x:v>
      </x:c>
      <x:c r="Q2" s="119" t="s">
        <x:v>17</x:v>
      </x:c>
      <x:c r="R2" s="119" t="s">
        <x:v>18</x:v>
      </x:c>
      <x:c r="S2" s="119" t="s">
        <x:v>19</x:v>
      </x:c>
      <x:c r="T2" s="120" t="s">
        <x:v>20</x:v>
      </x:c>
      <x:c r="U2" s="119" t="s">
        <x:v>21</x:v>
      </x:c>
      <x:c r="V2" s="119" t="s">
        <x:v>22</x:v>
      </x:c>
      <x:c r="W2" s="119" t="s">
        <x:v>23</x:v>
      </x:c>
      <x:c r="X2" s="119" t="s">
        <x:v>24</x:v>
      </x:c>
      <x:c r="Y2" s="119" t="s">
        <x:v>25</x:v>
      </x:c>
      <x:c r="Z2" s="120" t="s">
        <x:v>26</x:v>
      </x:c>
      <x:c r="AA2" s="119" t="s">
        <x:v>27</x:v>
      </x:c>
      <x:c r="AB2" s="119" t="s">
        <x:v>28</x:v>
      </x:c>
      <x:c r="AC2" s="119" t="s">
        <x:v>29</x:v>
      </x:c>
      <x:c r="AD2" s="119" t="s">
        <x:v>30</x:v>
      </x:c>
      <x:c r="AE2" s="119" t="s">
        <x:v>31</x:v>
      </x:c>
      <x:c r="AF2" s="119" t="s">
        <x:v>32</x:v>
      </x:c>
      <x:c r="AG2" s="121" t="s">
        <x:v>33</x:v>
      </x:c>
      <x:c r="AH2" s="122" t="s">
        <x:v>34</x:v>
      </x:c>
      <x:c r="AI2" s="123" t="s">
        <x:v>35</x:v>
      </x:c>
      <x:c r="AK2" s="124"/>
      <x:c r="AL2" s="124"/>
      <x:c r="AM2" s="124"/>
    </x:row>
    <x:row r="3" spans="1:49" s="114" customFormat="1" x14ac:dyDescent="0.25">
      <x:c r="A3" s="102"/>
      <x:c r="B3" s="125" t="s">
        <x:v>36</x:v>
      </x:c>
      <x:c r="C3" s="63">
        <x:v>5</x:v>
      </x:c>
      <x:c r="D3" s="8">
        <x:v>17</x:v>
      </x:c>
      <x:c r="E3" s="8">
        <x:v>13</x:v>
      </x:c>
      <x:c r="F3" s="8">
        <x:v>17</x:v>
      </x:c>
      <x:c r="G3" s="8">
        <x:v>17</x:v>
      </x:c>
      <x:c r="H3" s="8">
        <x:v>17</x:v>
      </x:c>
      <x:c r="I3" s="8">
        <x:v>7</x:v>
      </x:c>
      <x:c r="J3" s="8">
        <x:v>7</x:v>
      </x:c>
      <x:c r="K3" s="8">
        <x:v>17</x:v>
      </x:c>
      <x:c r="L3" s="8">
        <x:v>16</x:v>
      </x:c>
      <x:c r="M3" s="126">
        <x:v>16</x:v>
      </x:c>
      <x:c r="N3" s="8">
        <x:v>16</x:v>
      </x:c>
      <x:c r="O3" s="8">
        <x:v>17</x:v>
      </x:c>
      <x:c r="P3" s="8">
        <x:v>8</x:v>
      </x:c>
      <x:c r="Q3" s="8">
        <x:v>6</x:v>
      </x:c>
      <x:c r="R3" s="8">
        <x:v>17</x:v>
      </x:c>
      <x:c r="S3" s="8">
        <x:v>17</x:v>
      </x:c>
      <x:c r="T3" s="126">
        <x:v>17</x:v>
      </x:c>
      <x:c r="U3" s="8">
        <x:v>17</x:v>
      </x:c>
      <x:c r="V3" s="8">
        <x:v>17</x:v>
      </x:c>
      <x:c r="W3" s="8">
        <x:v>6</x:v>
      </x:c>
      <x:c r="X3" s="8">
        <x:v>4</x:v>
      </x:c>
      <x:c r="Y3" s="8">
        <x:v>17</x:v>
      </x:c>
      <x:c r="Z3" s="126">
        <x:v>17</x:v>
      </x:c>
      <x:c r="AA3" s="8">
        <x:v>17</x:v>
      </x:c>
      <x:c r="AB3" s="8">
        <x:v>17</x:v>
      </x:c>
      <x:c r="AC3" s="8">
        <x:v>17</x:v>
      </x:c>
      <x:c r="AD3" s="8">
        <x:v>17</x:v>
      </x:c>
      <x:c r="AE3" s="8">
        <x:v>5</x:v>
      </x:c>
      <x:c r="AF3" s="8">
        <x:v>17</x:v>
      </x:c>
      <x:c r="AG3" s="63">
        <x:v>17</x:v>
      </x:c>
      <x:c r="AH3" s="9">
        <x:f>SUM(C3:AG3)</x:f>
      </x:c>
      <x:c r="AI3" s="8"/>
      <x:c r="AJ3" s="0"/>
      <x:c r="AK3" s="124"/>
      <x:c r="AL3" s="124"/>
      <x:c r="AM3" s="124"/>
    </x:row>
    <x:row r="4" spans="1:49" x14ac:dyDescent="0.25">
      <x:c r="A4" s="102"/>
      <x:c r="B4" s="125" t="s">
        <x:v>37</x:v>
      </x:c>
      <x:c r="C4" s="63"/>
      <x:c r="D4" s="8">
        <x:v>5</x:v>
      </x:c>
      <x:c r="E4" s="8"/>
      <x:c r="F4" s="8">
        <x:v>5</x:v>
      </x:c>
      <x:c r="G4" s="8">
        <x:v>5</x:v>
      </x:c>
      <x:c r="H4" s="8">
        <x:v>5</x:v>
      </x:c>
      <x:c r="I4" s="8"/>
      <x:c r="J4" s="8"/>
      <x:c r="K4" s="8">
        <x:v>5</x:v>
      </x:c>
      <x:c r="L4" s="8">
        <x:v>5</x:v>
      </x:c>
      <x:c r="M4" s="126">
        <x:v>5</x:v>
      </x:c>
      <x:c r="N4" s="8">
        <x:v>5</x:v>
      </x:c>
      <x:c r="O4" s="8">
        <x:v>4</x:v>
      </x:c>
      <x:c r="P4" s="8"/>
      <x:c r="Q4" s="8"/>
      <x:c r="R4" s="8">
        <x:v>5</x:v>
      </x:c>
      <x:c r="S4" s="8">
        <x:v>5</x:v>
      </x:c>
      <x:c r="T4" s="126">
        <x:v>5</x:v>
      </x:c>
      <x:c r="U4" s="8">
        <x:v>5</x:v>
      </x:c>
      <x:c r="V4" s="8">
        <x:v>5</x:v>
      </x:c>
      <x:c r="W4" s="8"/>
      <x:c r="X4" s="8"/>
      <x:c r="Y4" s="8">
        <x:v>5</x:v>
      </x:c>
      <x:c r="Z4" s="126">
        <x:v>5</x:v>
      </x:c>
      <x:c r="AA4" s="8">
        <x:v>5</x:v>
      </x:c>
      <x:c r="AB4" s="8">
        <x:v>5</x:v>
      </x:c>
      <x:c r="AC4" s="8">
        <x:v>5</x:v>
      </x:c>
      <x:c r="AD4" s="8">
        <x:v>5</x:v>
      </x:c>
      <x:c r="AE4" s="8"/>
      <x:c r="AF4" s="8">
        <x:v>5</x:v>
      </x:c>
      <x:c r="AG4" s="63">
        <x:v>5</x:v>
      </x:c>
      <x:c r="AH4" s="9">
        <x:f>SUM(C4:AG4)</x:f>
      </x:c>
      <x:c r="AI4" s="8"/>
      <x:c r="AK4" s="124"/>
      <x:c r="AL4" s="124"/>
      <x:c r="AM4" s="127" t="s">
        <x:v>38</x:v>
      </x:c>
      <x:c r="AN4" s="128" t="s">
        <x:v>39</x:v>
      </x:c>
      <x:c r="AO4" s="128" t="s">
        <x:v>40</x:v>
      </x:c>
      <x:c r="AP4" s="128" t="s">
        <x:v>41</x:v>
      </x:c>
      <x:c r="AQ4" s="128" t="s">
        <x:v>42</x:v>
      </x:c>
      <x:c r="AR4" s="129" t="s">
        <x:v>43</x:v>
      </x:c>
    </x:row>
    <x:row r="5" spans="1:49" x14ac:dyDescent="0.25">
      <x:c r="A5" s="102"/>
      <x:c r="B5" s="125" t="s">
        <x:v>44</x:v>
      </x:c>
      <x:c r="C5" s="63"/>
      <x:c r="D5" s="8">
        <x:v>6</x:v>
      </x:c>
      <x:c r="E5" s="8"/>
      <x:c r="F5" s="8">
        <x:v>6</x:v>
      </x:c>
      <x:c r="G5" s="8">
        <x:v>6</x:v>
      </x:c>
      <x:c r="H5" s="8">
        <x:v>6</x:v>
      </x:c>
      <x:c r="I5" s="8">
        <x:v>6</x:v>
      </x:c>
      <x:c r="J5" s="8">
        <x:v>6</x:v>
      </x:c>
      <x:c r="K5" s="8">
        <x:v>5</x:v>
      </x:c>
      <x:c r="L5" s="8">
        <x:v>6</x:v>
      </x:c>
      <x:c r="M5" s="126">
        <x:v>6</x:v>
      </x:c>
      <x:c r="N5" s="8">
        <x:v>6</x:v>
      </x:c>
      <x:c r="O5" s="8">
        <x:v>6</x:v>
      </x:c>
      <x:c r="P5" s="8"/>
      <x:c r="Q5" s="8"/>
      <x:c r="R5" s="8">
        <x:v>5</x:v>
      </x:c>
      <x:c r="S5" s="8">
        <x:v>5</x:v>
      </x:c>
      <x:c r="T5" s="126">
        <x:v>6</x:v>
      </x:c>
      <x:c r="U5" s="8">
        <x:v>6</x:v>
      </x:c>
      <x:c r="V5" s="8">
        <x:v>6</x:v>
      </x:c>
      <x:c r="W5" s="8"/>
      <x:c r="X5" s="8"/>
      <x:c r="Y5" s="8">
        <x:v>5</x:v>
      </x:c>
      <x:c r="Z5" s="126">
        <x:v>6</x:v>
      </x:c>
      <x:c r="AA5" s="8">
        <x:v>6</x:v>
      </x:c>
      <x:c r="AB5" s="8">
        <x:v>6</x:v>
      </x:c>
      <x:c r="AC5" s="8">
        <x:v>6</x:v>
      </x:c>
      <x:c r="AD5" s="8">
        <x:v>6</x:v>
      </x:c>
      <x:c r="AE5" s="8"/>
      <x:c r="AF5" s="8">
        <x:v>6</x:v>
      </x:c>
      <x:c r="AG5" s="63">
        <x:v>6</x:v>
      </x:c>
      <x:c r="AH5" s="9">
        <x:f>SUM(C5:AG5)</x:f>
      </x:c>
      <x:c r="AI5" s="8"/>
      <x:c r="AK5" s="124"/>
      <x:c r="AL5" s="124"/>
      <x:c r="AM5" s="130">
        <x:v>24000</x:v>
      </x:c>
      <x:c r="AN5" s="131">
        <x:f>(AH22 - (M22 + T22 + Z22)) * AM5</x:f>
      </x:c>
      <x:c r="AO5" s="131">
        <x:f>AH41 * AM5</x:f>
      </x:c>
      <x:c r="AP5" s="131">
        <x:f>('Đêm tháng 08'!AH19 - ('Đêm tháng 08'!M19 + 'Đêm tháng 08'!T19 + 'Đêm tháng 08'!AA19)) * AM5</x:f>
      </x:c>
      <x:c r="AQ5" s="131">
        <x:f>'Đêm tháng 08'!AH37 * AM5</x:f>
      </x:c>
      <x:c r="AR5" s="131">
        <x:f>75000 * ('Cơm Hàn'!E34 + 'Cơm Hàn'!F34)</x:f>
      </x:c>
      <x:c r="AS5" s="81"/>
      <x:c r="AT5" s="81"/>
      <x:c r="AU5" s="81"/>
      <x:c r="AV5" s="81"/>
    </x:row>
    <x:row r="6" spans="1:49" x14ac:dyDescent="0.25">
      <x:c r="A6" s="102"/>
      <x:c r="B6" s="125" t="s">
        <x:v>45</x:v>
      </x:c>
      <x:c r="C6" s="63"/>
      <x:c r="D6" s="8"/>
      <x:c r="E6" s="8">
        <x:v>5</x:v>
      </x:c>
      <x:c r="F6" s="8">
        <x:v>5</x:v>
      </x:c>
      <x:c r="G6" s="8">
        <x:v>5</x:v>
      </x:c>
      <x:c r="H6" s="8">
        <x:v>4</x:v>
      </x:c>
      <x:c r="I6" s="8">
        <x:v>2</x:v>
      </x:c>
      <x:c r="J6" s="8"/>
      <x:c r="K6" s="8">
        <x:v>3</x:v>
      </x:c>
      <x:c r="L6" s="8">
        <x:v>4</x:v>
      </x:c>
      <x:c r="M6" s="126">
        <x:v>4</x:v>
      </x:c>
      <x:c r="N6" s="8">
        <x:v>4</x:v>
      </x:c>
      <x:c r="O6" s="8">
        <x:v>4</x:v>
      </x:c>
      <x:c r="P6" s="8">
        <x:v>1</x:v>
      </x:c>
      <x:c r="Q6" s="8"/>
      <x:c r="R6" s="8">
        <x:v>4</x:v>
      </x:c>
      <x:c r="S6" s="8">
        <x:v>4</x:v>
      </x:c>
      <x:c r="T6" s="126">
        <x:v>4</x:v>
      </x:c>
      <x:c r="U6" s="8">
        <x:v>4</x:v>
      </x:c>
      <x:c r="V6" s="8">
        <x:v>4</x:v>
      </x:c>
      <x:c r="W6" s="8"/>
      <x:c r="X6" s="8"/>
      <x:c r="Y6" s="8">
        <x:v>5</x:v>
      </x:c>
      <x:c r="Z6" s="126">
        <x:v>5</x:v>
      </x:c>
      <x:c r="AA6" s="8">
        <x:v>5</x:v>
      </x:c>
      <x:c r="AB6" s="8">
        <x:v>5</x:v>
      </x:c>
      <x:c r="AC6" s="8">
        <x:v>5</x:v>
      </x:c>
      <x:c r="AD6" s="8">
        <x:v>5</x:v>
      </x:c>
      <x:c r="AE6" s="8"/>
      <x:c r="AF6" s="8">
        <x:v>6</x:v>
      </x:c>
      <x:c r="AG6" s="63">
        <x:v>6</x:v>
      </x:c>
      <x:c r="AH6" s="9">
        <x:f>SUM(C6:AG6)</x:f>
      </x:c>
      <x:c r="AI6" s="8"/>
      <x:c r="AJ6" s="132"/>
      <x:c r="AK6" s="2"/>
      <x:c r="AM6" s="133">
        <x:v>30000</x:v>
      </x:c>
      <x:c r="AN6" s="134">
        <x:f>(M22 + T22 + Z22) * 30000</x:f>
      </x:c>
      <x:c r="AO6" s="134">
        <x:v>0</x:v>
      </x:c>
      <x:c r="AP6" s="134">
        <x:f>('Đêm tháng 08'!M19 + 'Đêm tháng 08'!T19 + 'Đêm tháng 08'!AA19) * 30000</x:f>
      </x:c>
      <x:c r="AQ6" s="134">
        <x:v>0</x:v>
      </x:c>
      <x:c r="AR6" s="134">
        <x:f>45000 * 'Cơm Hàn'!D34</x:f>
      </x:c>
      <x:c r="AS6" s="81"/>
      <x:c r="AT6" s="81"/>
      <x:c r="AU6" s="81"/>
      <x:c r="AV6" s="81"/>
    </x:row>
    <x:row r="7" spans="1:49" x14ac:dyDescent="0.25">
      <x:c r="A7" s="102"/>
      <x:c r="B7" s="125" t="s">
        <x:v>46</x:v>
      </x:c>
      <x:c r="C7" s="63">
        <x:v>2</x:v>
      </x:c>
      <x:c r="D7" s="8">
        <x:v>6</x:v>
      </x:c>
      <x:c r="E7" s="8"/>
      <x:c r="F7" s="8">
        <x:v>6</x:v>
      </x:c>
      <x:c r="G7" s="8">
        <x:v>6</x:v>
      </x:c>
      <x:c r="H7" s="8">
        <x:v>6</x:v>
      </x:c>
      <x:c r="I7" s="8">
        <x:v>2</x:v>
      </x:c>
      <x:c r="J7" s="8">
        <x:v>2</x:v>
      </x:c>
      <x:c r="K7" s="8">
        <x:v>6</x:v>
      </x:c>
      <x:c r="L7" s="8">
        <x:v>6</x:v>
      </x:c>
      <x:c r="M7" s="126">
        <x:v>6</x:v>
      </x:c>
      <x:c r="N7" s="8">
        <x:v>6</x:v>
      </x:c>
      <x:c r="O7" s="8">
        <x:v>6</x:v>
      </x:c>
      <x:c r="P7" s="8">
        <x:v>2</x:v>
      </x:c>
      <x:c r="Q7" s="8">
        <x:v>2</x:v>
      </x:c>
      <x:c r="R7" s="8">
        <x:v>6</x:v>
      </x:c>
      <x:c r="S7" s="8">
        <x:v>6</x:v>
      </x:c>
      <x:c r="T7" s="126">
        <x:v>6</x:v>
      </x:c>
      <x:c r="U7" s="8">
        <x:v>6</x:v>
      </x:c>
      <x:c r="V7" s="8">
        <x:v>6</x:v>
      </x:c>
      <x:c r="W7" s="8">
        <x:v>1</x:v>
      </x:c>
      <x:c r="X7" s="8">
        <x:v>1</x:v>
      </x:c>
      <x:c r="Y7" s="8">
        <x:v>6</x:v>
      </x:c>
      <x:c r="Z7" s="126">
        <x:v>6</x:v>
      </x:c>
      <x:c r="AA7" s="8">
        <x:v>6</x:v>
      </x:c>
      <x:c r="AB7" s="8">
        <x:v>6</x:v>
      </x:c>
      <x:c r="AC7" s="8">
        <x:v>6</x:v>
      </x:c>
      <x:c r="AD7" s="8">
        <x:v>6</x:v>
      </x:c>
      <x:c r="AE7" s="8"/>
      <x:c r="AF7" s="8">
        <x:v>6</x:v>
      </x:c>
      <x:c r="AG7" s="63">
        <x:v>6</x:v>
      </x:c>
      <x:c r="AH7" s="9">
        <x:f>SUM(C7:AG7)</x:f>
      </x:c>
      <x:c r="AI7" s="8"/>
      <x:c r="AJ7" s="132"/>
      <x:c r="AK7" s="135"/>
      <x:c r="AL7" s="124"/>
      <x:c r="AM7" s="136" t="s">
        <x:v>47</x:v>
      </x:c>
      <x:c r="AN7" s="137">
        <x:f>SUM(AN5:AQ6)</x:f>
      </x:c>
      <x:c r="AO7" s="137"/>
      <x:c r="AP7" s="137"/>
      <x:c r="AQ7" s="137"/>
      <x:c r="AR7" s="137">
        <x:f>SUM(AR5:AR6)</x:f>
      </x:c>
      <x:c r="AS7" s="81"/>
      <x:c r="AT7" s="81"/>
      <x:c r="AU7" s="81"/>
      <x:c r="AV7" s="81"/>
    </x:row>
    <x:row r="8" spans="1:49" x14ac:dyDescent="0.25">
      <x:c r="A8" s="102"/>
      <x:c r="B8" s="125" t="s">
        <x:v>48</x:v>
      </x:c>
      <x:c r="C8" s="63">
        <x:v>5</x:v>
      </x:c>
      <x:c r="D8" s="8">
        <x:v>7</x:v>
      </x:c>
      <x:c r="E8" s="8">
        <x:v>5</x:v>
      </x:c>
      <x:c r="F8" s="8">
        <x:v>8</x:v>
      </x:c>
      <x:c r="G8" s="8">
        <x:v>7</x:v>
      </x:c>
      <x:c r="H8" s="8">
        <x:v>7</x:v>
      </x:c>
      <x:c r="I8" s="8">
        <x:v>7</x:v>
      </x:c>
      <x:c r="J8" s="8">
        <x:v>4</x:v>
      </x:c>
      <x:c r="K8" s="8">
        <x:v>8</x:v>
      </x:c>
      <x:c r="L8" s="8">
        <x:v>8</x:v>
      </x:c>
      <x:c r="M8" s="126">
        <x:v>8</x:v>
      </x:c>
      <x:c r="N8" s="8">
        <x:v>8</x:v>
      </x:c>
      <x:c r="O8" s="8">
        <x:v>8</x:v>
      </x:c>
      <x:c r="P8" s="8">
        <x:v>7</x:v>
      </x:c>
      <x:c r="Q8" s="8">
        <x:v>5</x:v>
      </x:c>
      <x:c r="R8" s="8">
        <x:v>8</x:v>
      </x:c>
      <x:c r="S8" s="8">
        <x:v>7</x:v>
      </x:c>
      <x:c r="T8" s="126">
        <x:v>7</x:v>
      </x:c>
      <x:c r="U8" s="8">
        <x:v>7</x:v>
      </x:c>
      <x:c r="V8" s="8">
        <x:v>7</x:v>
      </x:c>
      <x:c r="W8" s="8">
        <x:v>5</x:v>
      </x:c>
      <x:c r="X8" s="8">
        <x:v>5</x:v>
      </x:c>
      <x:c r="Y8" s="8">
        <x:v>7</x:v>
      </x:c>
      <x:c r="Z8" s="126">
        <x:v>8</x:v>
      </x:c>
      <x:c r="AA8" s="8">
        <x:v>8</x:v>
      </x:c>
      <x:c r="AB8" s="8">
        <x:v>8</x:v>
      </x:c>
      <x:c r="AC8" s="8">
        <x:v>8</x:v>
      </x:c>
      <x:c r="AD8" s="8">
        <x:v>7</x:v>
      </x:c>
      <x:c r="AE8" s="8">
        <x:v>6</x:v>
      </x:c>
      <x:c r="AF8" s="8">
        <x:v>6</x:v>
      </x:c>
      <x:c r="AG8" s="63">
        <x:v>6</x:v>
      </x:c>
      <x:c r="AH8" s="9">
        <x:f>SUM(C8:AG8)</x:f>
      </x:c>
      <x:c r="AI8" s="8"/>
      <x:c r="AJ8" s="132"/>
      <x:c r="AK8" s="138"/>
      <x:c r="AL8" s="124"/>
      <x:c r="AM8" s="124"/>
      <x:c r="AN8" s="81"/>
      <x:c r="AO8" s="81"/>
      <x:c r="AP8" s="81"/>
      <x:c r="AQ8" s="81"/>
      <x:c r="AR8" s="81"/>
      <x:c r="AS8" s="81"/>
      <x:c r="AT8" s="81"/>
      <x:c r="AU8" s="81"/>
      <x:c r="AV8" s="81"/>
    </x:row>
    <x:row r="9" spans="1:49" x14ac:dyDescent="0.25">
      <x:c r="A9" s="102"/>
      <x:c r="B9" s="125" t="s">
        <x:v>49</x:v>
      </x:c>
      <x:c r="C9" s="63"/>
      <x:c r="D9" s="8"/>
      <x:c r="E9" s="8">
        <x:v>13</x:v>
      </x:c>
      <x:c r="F9" s="8">
        <x:v>13</x:v>
      </x:c>
      <x:c r="G9" s="8">
        <x:v>14</x:v>
      </x:c>
      <x:c r="H9" s="8">
        <x:v>14</x:v>
      </x:c>
      <x:c r="I9" s="8">
        <x:v>4</x:v>
      </x:c>
      <x:c r="J9" s="8"/>
      <x:c r="K9" s="8">
        <x:v>13</x:v>
      </x:c>
      <x:c r="L9" s="8">
        <x:v>13</x:v>
      </x:c>
      <x:c r="M9" s="126">
        <x:v>13</x:v>
      </x:c>
      <x:c r="N9" s="8">
        <x:v>12</x:v>
      </x:c>
      <x:c r="O9" s="8">
        <x:v>12</x:v>
      </x:c>
      <x:c r="P9" s="8">
        <x:v>4</x:v>
      </x:c>
      <x:c r="Q9" s="8"/>
      <x:c r="R9" s="8">
        <x:v>13</x:v>
      </x:c>
      <x:c r="S9" s="8">
        <x:v>12</x:v>
      </x:c>
      <x:c r="T9" s="126">
        <x:v>12</x:v>
      </x:c>
      <x:c r="U9" s="8">
        <x:v>12</x:v>
      </x:c>
      <x:c r="V9" s="8">
        <x:v>12</x:v>
      </x:c>
      <x:c r="W9" s="8">
        <x:v>1</x:v>
      </x:c>
      <x:c r="X9" s="8"/>
      <x:c r="Y9" s="8">
        <x:v>12</x:v>
      </x:c>
      <x:c r="Z9" s="126">
        <x:v>12</x:v>
      </x:c>
      <x:c r="AA9" s="8">
        <x:v>12</x:v>
      </x:c>
      <x:c r="AB9" s="8">
        <x:v>12</x:v>
      </x:c>
      <x:c r="AC9" s="8">
        <x:v>12</x:v>
      </x:c>
      <x:c r="AD9" s="8">
        <x:v>12</x:v>
      </x:c>
      <x:c r="AE9" s="8"/>
      <x:c r="AF9" s="8">
        <x:v>12</x:v>
      </x:c>
      <x:c r="AG9" s="63">
        <x:v>12</x:v>
      </x:c>
      <x:c r="AH9" s="9">
        <x:f>SUM(C9:AG9)</x:f>
      </x:c>
      <x:c r="AI9" s="8"/>
      <x:c r="AJ9" s="135"/>
      <x:c r="AK9" s="138"/>
      <x:c r="AL9" s="124"/>
      <x:c r="AM9" s="124"/>
      <x:c r="AN9" s="81"/>
      <x:c r="AO9" s="81"/>
      <x:c r="AP9" s="81"/>
      <x:c r="AQ9" s="81"/>
      <x:c r="AR9" s="81"/>
      <x:c r="AS9" s="81"/>
      <x:c r="AT9" s="81"/>
      <x:c r="AU9" s="81"/>
      <x:c r="AV9" s="81"/>
    </x:row>
    <x:row r="10" spans="1:49" x14ac:dyDescent="0.25">
      <x:c r="A10" s="102"/>
      <x:c r="B10" s="125" t="s">
        <x:v>50</x:v>
      </x:c>
      <x:c r="C10" s="63">
        <x:v>42</x:v>
      </x:c>
      <x:c r="D10" s="47">
        <x:v>49</x:v>
      </x:c>
      <x:c r="E10" s="8">
        <x:v>49</x:v>
      </x:c>
      <x:c r="F10" s="8">
        <x:v>50</x:v>
      </x:c>
      <x:c r="G10" s="8">
        <x:v>52</x:v>
      </x:c>
      <x:c r="H10" s="8">
        <x:v>52</x:v>
      </x:c>
      <x:c r="I10" s="8">
        <x:v>48</x:v>
      </x:c>
      <x:c r="J10" s="8">
        <x:v>41</x:v>
      </x:c>
      <x:c r="K10" s="8">
        <x:v>45</x:v>
      </x:c>
      <x:c r="L10" s="8">
        <x:v>45</x:v>
      </x:c>
      <x:c r="M10" s="126">
        <x:v>47</x:v>
      </x:c>
      <x:c r="N10" s="8">
        <x:v>45</x:v>
      </x:c>
      <x:c r="O10" s="8">
        <x:v>47</x:v>
      </x:c>
      <x:c r="P10" s="8">
        <x:v>48</x:v>
      </x:c>
      <x:c r="Q10" s="8">
        <x:v>36</x:v>
      </x:c>
      <x:c r="R10" s="8">
        <x:v>47</x:v>
      </x:c>
      <x:c r="S10" s="8">
        <x:v>54</x:v>
      </x:c>
      <x:c r="T10" s="126">
        <x:v>49</x:v>
      </x:c>
      <x:c r="U10" s="8">
        <x:v>50</x:v>
      </x:c>
      <x:c r="V10" s="8">
        <x:v>55</x:v>
      </x:c>
      <x:c r="W10" s="8">
        <x:v>50</x:v>
      </x:c>
      <x:c r="X10" s="8">
        <x:v>35</x:v>
      </x:c>
      <x:c r="Y10" s="8">
        <x:v>53</x:v>
      </x:c>
      <x:c r="Z10" s="139">
        <x:v>52</x:v>
      </x:c>
      <x:c r="AA10" s="8">
        <x:v>54</x:v>
      </x:c>
      <x:c r="AB10" s="47">
        <x:v>50</x:v>
      </x:c>
      <x:c r="AC10" s="8">
        <x:v>53</x:v>
      </x:c>
      <x:c r="AD10" s="47">
        <x:v>40</x:v>
      </x:c>
      <x:c r="AE10" s="47">
        <x:v>29</x:v>
      </x:c>
      <x:c r="AF10" s="47">
        <x:v>49</x:v>
      </x:c>
      <x:c r="AG10" s="63">
        <x:v>50</x:v>
      </x:c>
      <x:c r="AH10" s="9">
        <x:f>SUM(C10:AG10)</x:f>
      </x:c>
      <x:c r="AI10" s="8"/>
      <x:c r="AJ10" s="132"/>
      <x:c r="AK10" s="140"/>
      <x:c r="AL10" s="141"/>
      <x:c r="AM10" s="141"/>
      <x:c r="AN10" s="142"/>
      <x:c r="AO10" s="142"/>
      <x:c r="AP10" s="142"/>
      <x:c r="AQ10" s="142"/>
      <x:c r="AR10" s="142"/>
      <x:c r="AS10" s="81"/>
      <x:c r="AT10" s="81"/>
      <x:c r="AU10" s="81"/>
      <x:c r="AV10" s="81"/>
    </x:row>
    <x:row r="11" spans="1:49" x14ac:dyDescent="0.25">
      <x:c r="A11" s="102"/>
      <x:c r="B11" s="125" t="s">
        <x:v>51</x:v>
      </x:c>
      <x:c r="C11" s="63">
        <x:v>33</x:v>
      </x:c>
      <x:c r="D11" s="48">
        <x:v>35</x:v>
      </x:c>
      <x:c r="E11" s="48">
        <x:v>35</x:v>
      </x:c>
      <x:c r="F11" s="48">
        <x:v>35</x:v>
      </x:c>
      <x:c r="G11" s="48">
        <x:v>38</x:v>
      </x:c>
      <x:c r="H11" s="48">
        <x:v>35</x:v>
      </x:c>
      <x:c r="I11" s="48">
        <x:v>37</x:v>
      </x:c>
      <x:c r="J11" s="48">
        <x:v>28</x:v>
      </x:c>
      <x:c r="K11" s="48">
        <x:v>32</x:v>
      </x:c>
      <x:c r="L11" s="48">
        <x:v>32</x:v>
      </x:c>
      <x:c r="M11" s="143">
        <x:v>30</x:v>
      </x:c>
      <x:c r="N11" s="48">
        <x:v>32</x:v>
      </x:c>
      <x:c r="O11" s="48">
        <x:v>32</x:v>
      </x:c>
      <x:c r="P11" s="48">
        <x:v>37</x:v>
      </x:c>
      <x:c r="Q11" s="48">
        <x:v>30</x:v>
      </x:c>
      <x:c r="R11" s="48">
        <x:v>35</x:v>
      </x:c>
      <x:c r="S11" s="48">
        <x:v>35</x:v>
      </x:c>
      <x:c r="T11" s="143">
        <x:v>35</x:v>
      </x:c>
      <x:c r="U11" s="48">
        <x:v>35</x:v>
      </x:c>
      <x:c r="V11" s="48">
        <x:v>31</x:v>
      </x:c>
      <x:c r="W11" s="48">
        <x:v>35</x:v>
      </x:c>
      <x:c r="X11" s="48">
        <x:v>19</x:v>
      </x:c>
      <x:c r="Y11" s="48">
        <x:v>35</x:v>
      </x:c>
      <x:c r="Z11" s="143">
        <x:v>35</x:v>
      </x:c>
      <x:c r="AA11" s="48">
        <x:v>32</x:v>
      </x:c>
      <x:c r="AB11" s="48">
        <x:v>30</x:v>
      </x:c>
      <x:c r="AC11" s="48">
        <x:v>30</x:v>
      </x:c>
      <x:c r="AD11" s="48">
        <x:v>30</x:v>
      </x:c>
      <x:c r="AE11" s="48">
        <x:v>23</x:v>
      </x:c>
      <x:c r="AF11" s="48">
        <x:v>32</x:v>
      </x:c>
      <x:c r="AG11" s="63">
        <x:v>32</x:v>
      </x:c>
      <x:c r="AH11" s="9">
        <x:f>SUM(C11:AG11)</x:f>
      </x:c>
      <x:c r="AI11" s="8"/>
      <x:c r="AJ11" s="138"/>
      <x:c r="AK11" s="138"/>
      <x:c r="AL11" s="124"/>
      <x:c r="AM11" s="124"/>
      <x:c r="AN11" s="81"/>
      <x:c r="AO11" s="81"/>
      <x:c r="AP11" s="81"/>
      <x:c r="AQ11" s="81"/>
      <x:c r="AR11" s="81"/>
      <x:c r="AS11" s="81"/>
      <x:c r="AT11" s="81"/>
      <x:c r="AU11" s="81"/>
      <x:c r="AV11" s="81"/>
    </x:row>
    <x:row r="12" spans="1:49" x14ac:dyDescent="0.25">
      <x:c r="A12" s="102"/>
      <x:c r="B12" s="125" t="s">
        <x:v>52</x:v>
      </x:c>
      <x:c r="C12" s="63">
        <x:v>18</x:v>
      </x:c>
      <x:c r="D12" s="48">
        <x:v>20</x:v>
      </x:c>
      <x:c r="E12" s="48">
        <x:v>20</x:v>
      </x:c>
      <x:c r="F12" s="48">
        <x:v>19</x:v>
      </x:c>
      <x:c r="G12" s="48">
        <x:v>20</x:v>
      </x:c>
      <x:c r="H12" s="48">
        <x:v>20</x:v>
      </x:c>
      <x:c r="I12" s="48">
        <x:v>20</x:v>
      </x:c>
      <x:c r="J12" s="48">
        <x:v>18</x:v>
      </x:c>
      <x:c r="K12" s="48">
        <x:v>20</x:v>
      </x:c>
      <x:c r="L12" s="48">
        <x:v>20</x:v>
      </x:c>
      <x:c r="M12" s="143">
        <x:v>21</x:v>
      </x:c>
      <x:c r="N12" s="48">
        <x:v>19</x:v>
      </x:c>
      <x:c r="O12" s="48">
        <x:v>22</x:v>
      </x:c>
      <x:c r="P12" s="48">
        <x:v>20</x:v>
      </x:c>
      <x:c r="Q12" s="48">
        <x:v>15</x:v>
      </x:c>
      <x:c r="R12" s="48">
        <x:v>21</x:v>
      </x:c>
      <x:c r="S12" s="48">
        <x:v>16</x:v>
      </x:c>
      <x:c r="T12" s="143">
        <x:v>20</x:v>
      </x:c>
      <x:c r="U12" s="48">
        <x:v>16</x:v>
      </x:c>
      <x:c r="V12" s="48">
        <x:v>18</x:v>
      </x:c>
      <x:c r="W12" s="48">
        <x:v>19</x:v>
      </x:c>
      <x:c r="X12" s="48">
        <x:v>3</x:v>
      </x:c>
      <x:c r="Y12" s="48">
        <x:v>19</x:v>
      </x:c>
      <x:c r="Z12" s="143">
        <x:v>19</x:v>
      </x:c>
      <x:c r="AA12" s="48">
        <x:v>20</x:v>
      </x:c>
      <x:c r="AB12" s="48">
        <x:v>19</x:v>
      </x:c>
      <x:c r="AC12" s="48">
        <x:v>18</x:v>
      </x:c>
      <x:c r="AD12" s="48">
        <x:v>18</x:v>
      </x:c>
      <x:c r="AE12" s="48"/>
      <x:c r="AF12" s="48">
        <x:v>18</x:v>
      </x:c>
      <x:c r="AG12" s="63">
        <x:v>17</x:v>
      </x:c>
      <x:c r="AH12" s="9">
        <x:f>SUM(C12:AG12)</x:f>
      </x:c>
      <x:c r="AI12" s="8"/>
      <x:c r="AK12" s="138"/>
      <x:c r="AL12" s="144"/>
      <x:c r="AM12" s="144"/>
      <x:c r="AN12" s="81"/>
      <x:c r="AO12" s="81"/>
      <x:c r="AP12" s="81"/>
      <x:c r="AQ12" s="81"/>
      <x:c r="AR12" s="81"/>
      <x:c r="AS12" s="81"/>
      <x:c r="AT12" s="81"/>
      <x:c r="AU12" s="81"/>
      <x:c r="AV12" s="81"/>
    </x:row>
    <x:row r="13" spans="1:49" x14ac:dyDescent="0.25">
      <x:c r="A13" s="102"/>
      <x:c r="B13" s="125" t="s">
        <x:v>53</x:v>
      </x:c>
      <x:c r="C13" s="64">
        <x:v>420</x:v>
      </x:c>
      <x:c r="D13" s="8">
        <x:v>475</x:v>
      </x:c>
      <x:c r="E13" s="8">
        <x:v>492</x:v>
      </x:c>
      <x:c r="F13" s="8">
        <x:v>489</x:v>
      </x:c>
      <x:c r="G13" s="8">
        <x:v>493</x:v>
      </x:c>
      <x:c r="H13" s="8">
        <x:v>520</x:v>
      </x:c>
      <x:c r="I13" s="8">
        <x:v>490</x:v>
      </x:c>
      <x:c r="J13" s="8">
        <x:v>490</x:v>
      </x:c>
      <x:c r="K13" s="8">
        <x:v>522</x:v>
      </x:c>
      <x:c r="L13" s="8">
        <x:v>520</x:v>
      </x:c>
      <x:c r="M13" s="126">
        <x:v>520</x:v>
      </x:c>
      <x:c r="N13" s="8">
        <x:v>540</x:v>
      </x:c>
      <x:c r="O13" s="8">
        <x:v>500</x:v>
      </x:c>
      <x:c r="P13" s="8">
        <x:v>475</x:v>
      </x:c>
      <x:c r="Q13" s="8">
        <x:v>330</x:v>
      </x:c>
      <x:c r="R13" s="8">
        <x:v>524</x:v>
      </x:c>
      <x:c r="S13" s="8">
        <x:v>503</x:v>
      </x:c>
      <x:c r="T13" s="126">
        <x:v>496</x:v>
      </x:c>
      <x:c r="U13" s="8">
        <x:v>497</x:v>
      </x:c>
      <x:c r="V13" s="8">
        <x:v>490</x:v>
      </x:c>
      <x:c r="W13" s="8">
        <x:v>490</x:v>
      </x:c>
      <x:c r="X13" s="8">
        <x:v>230</x:v>
      </x:c>
      <x:c r="Y13" s="8">
        <x:v>489</x:v>
      </x:c>
      <x:c r="Z13" s="126">
        <x:v>482</x:v>
      </x:c>
      <x:c r="AA13" s="8">
        <x:v>438</x:v>
      </x:c>
      <x:c r="AB13" s="8">
        <x:v>450</x:v>
      </x:c>
      <x:c r="AC13" s="8">
        <x:v>477</x:v>
      </x:c>
      <x:c r="AD13" s="8">
        <x:v>500</x:v>
      </x:c>
      <x:c r="AE13" s="8">
        <x:v>305</x:v>
      </x:c>
      <x:c r="AF13" s="8">
        <x:v>507</x:v>
      </x:c>
      <x:c r="AG13" s="64">
        <x:v>455</x:v>
      </x:c>
      <x:c r="AH13" s="9">
        <x:f>SUM(C13:AG13)</x:f>
      </x:c>
      <x:c r="AI13" s="8"/>
      <x:c r="AL13" s="31"/>
      <x:c r="AM13" s="31"/>
      <x:c r="AN13" s="81"/>
      <x:c r="AO13" s="81"/>
      <x:c r="AP13" s="81"/>
      <x:c r="AQ13" s="81"/>
      <x:c r="AR13" s="81"/>
      <x:c r="AS13" s="81"/>
      <x:c r="AT13" s="81"/>
      <x:c r="AU13" s="81"/>
      <x:c r="AV13" s="81"/>
    </x:row>
    <x:row r="14" spans="1:49" x14ac:dyDescent="0.25">
      <x:c r="A14" s="102"/>
      <x:c r="B14" s="125" t="s">
        <x:v>54</x:v>
      </x:c>
      <x:c r="C14" s="64">
        <x:v>4</x:v>
      </x:c>
      <x:c r="D14" s="8">
        <x:v>6</x:v>
      </x:c>
      <x:c r="E14" s="8">
        <x:v>7</x:v>
      </x:c>
      <x:c r="F14" s="8">
        <x:v>6</x:v>
      </x:c>
      <x:c r="G14" s="8">
        <x:v>6</x:v>
      </x:c>
      <x:c r="H14" s="8">
        <x:v>6</x:v>
      </x:c>
      <x:c r="I14" s="8">
        <x:v>6</x:v>
      </x:c>
      <x:c r="J14" s="8">
        <x:v>6</x:v>
      </x:c>
      <x:c r="K14" s="8">
        <x:v>5</x:v>
      </x:c>
      <x:c r="L14" s="8">
        <x:v>6</x:v>
      </x:c>
      <x:c r="M14" s="126">
        <x:v>7</x:v>
      </x:c>
      <x:c r="N14" s="8">
        <x:v>6</x:v>
      </x:c>
      <x:c r="O14" s="8">
        <x:v>6</x:v>
      </x:c>
      <x:c r="P14" s="8">
        <x:v>5</x:v>
      </x:c>
      <x:c r="Q14" s="8">
        <x:v>5</x:v>
      </x:c>
      <x:c r="R14" s="8">
        <x:v>6</x:v>
      </x:c>
      <x:c r="S14" s="8">
        <x:v>7</x:v>
      </x:c>
      <x:c r="T14" s="126">
        <x:v>7</x:v>
      </x:c>
      <x:c r="U14" s="8">
        <x:v>7</x:v>
      </x:c>
      <x:c r="V14" s="8">
        <x:v>7</x:v>
      </x:c>
      <x:c r="W14" s="8">
        <x:v>7</x:v>
      </x:c>
      <x:c r="X14" s="8"/>
      <x:c r="Y14" s="8">
        <x:v>7</x:v>
      </x:c>
      <x:c r="Z14" s="126">
        <x:v>8</x:v>
      </x:c>
      <x:c r="AA14" s="8">
        <x:v>8</x:v>
      </x:c>
      <x:c r="AB14" s="8">
        <x:v>7</x:v>
      </x:c>
      <x:c r="AC14" s="8">
        <x:v>8</x:v>
      </x:c>
      <x:c r="AD14" s="8">
        <x:v>8</x:v>
      </x:c>
      <x:c r="AE14" s="8">
        <x:v>6</x:v>
      </x:c>
      <x:c r="AF14" s="8">
        <x:v>8</x:v>
      </x:c>
      <x:c r="AG14" s="64">
        <x:v>8</x:v>
      </x:c>
      <x:c r="AH14" s="9">
        <x:f>SUM(C14:AG14)</x:f>
      </x:c>
      <x:c r="AI14" s="8"/>
      <x:c r="AJ14" s="132"/>
      <x:c r="AK14" s="138"/>
      <x:c r="AL14" s="31"/>
      <x:c r="AM14" s="31"/>
      <x:c r="AN14" s="81"/>
      <x:c r="AO14" s="81"/>
      <x:c r="AP14" s="81"/>
      <x:c r="AQ14" s="81"/>
      <x:c r="AR14" s="81"/>
      <x:c r="AS14" s="81"/>
      <x:c r="AT14" s="81"/>
      <x:c r="AU14" s="81"/>
      <x:c r="AV14" s="81"/>
    </x:row>
    <x:row r="15" spans="1:49" x14ac:dyDescent="0.25">
      <x:c r="A15" s="102"/>
      <x:c r="B15" s="125" t="s">
        <x:v>55</x:v>
      </x:c>
      <x:c r="C15" s="64">
        <x:v>50</x:v>
      </x:c>
      <x:c r="D15" s="47">
        <x:v>50</x:v>
      </x:c>
      <x:c r="E15" s="8">
        <x:v>50</x:v>
      </x:c>
      <x:c r="F15" s="8">
        <x:v>53</x:v>
      </x:c>
      <x:c r="G15" s="8">
        <x:v>50</x:v>
      </x:c>
      <x:c r="H15" s="8">
        <x:v>50</x:v>
      </x:c>
      <x:c r="I15" s="8">
        <x:v>55</x:v>
      </x:c>
      <x:c r="J15" s="8">
        <x:v>55</x:v>
      </x:c>
      <x:c r="K15" s="8">
        <x:v>55</x:v>
      </x:c>
      <x:c r="L15" s="8">
        <x:v>60</x:v>
      </x:c>
      <x:c r="M15" s="126">
        <x:v>60</x:v>
      </x:c>
      <x:c r="N15" s="8">
        <x:v>55</x:v>
      </x:c>
      <x:c r="O15" s="8">
        <x:v>55</x:v>
      </x:c>
      <x:c r="P15" s="8">
        <x:v>50</x:v>
      </x:c>
      <x:c r="Q15" s="8">
        <x:v>55</x:v>
      </x:c>
      <x:c r="R15" s="8">
        <x:v>66</x:v>
      </x:c>
      <x:c r="S15" s="8">
        <x:v>60</x:v>
      </x:c>
      <x:c r="T15" s="126">
        <x:v>60</x:v>
      </x:c>
      <x:c r="U15" s="8">
        <x:v>60</x:v>
      </x:c>
      <x:c r="V15" s="8">
        <x:v>55</x:v>
      </x:c>
      <x:c r="W15" s="8">
        <x:v>55</x:v>
      </x:c>
      <x:c r="X15" s="8">
        <x:v>55</x:v>
      </x:c>
      <x:c r="Y15" s="8">
        <x:v>55</x:v>
      </x:c>
      <x:c r="Z15" s="139">
        <x:v>60</x:v>
      </x:c>
      <x:c r="AA15" s="8">
        <x:v>55</x:v>
      </x:c>
      <x:c r="AB15" s="47">
        <x:v>60</x:v>
      </x:c>
      <x:c r="AC15" s="8">
        <x:v>55</x:v>
      </x:c>
      <x:c r="AD15" s="47">
        <x:v>55</x:v>
      </x:c>
      <x:c r="AE15" s="47"/>
      <x:c r="AF15" s="47">
        <x:v>55</x:v>
      </x:c>
      <x:c r="AG15" s="64">
        <x:v>55</x:v>
      </x:c>
      <x:c r="AH15" s="9">
        <x:f>SUM(C15:AG15)</x:f>
      </x:c>
      <x:c r="AI15" s="8"/>
      <x:c r="AJ15" s="132"/>
      <x:c r="AK15" s="138"/>
      <x:c r="AL15" s="31"/>
      <x:c r="AM15" s="31"/>
      <x:c r="AN15" s="81"/>
      <x:c r="AO15" s="81"/>
      <x:c r="AP15" s="81"/>
      <x:c r="AQ15" s="81"/>
      <x:c r="AR15" s="81"/>
      <x:c r="AS15" s="81"/>
      <x:c r="AT15" s="81"/>
      <x:c r="AU15" s="81"/>
      <x:c r="AV15" s="81"/>
    </x:row>
    <x:row r="16" spans="1:49" x14ac:dyDescent="0.25">
      <x:c r="A16" s="102"/>
      <x:c r="B16" s="125" t="s">
        <x:v>56</x:v>
      </x:c>
      <x:c r="C16" s="63">
        <x:v>27</x:v>
      </x:c>
      <x:c r="D16" s="63">
        <x:v>28</x:v>
      </x:c>
      <x:c r="E16" s="8">
        <x:v>28</x:v>
      </x:c>
      <x:c r="F16" s="8">
        <x:v>29</x:v>
      </x:c>
      <x:c r="G16" s="8">
        <x:v>30</x:v>
      </x:c>
      <x:c r="H16" s="8">
        <x:v>28</x:v>
      </x:c>
      <x:c r="I16" s="8">
        <x:v>30</x:v>
      </x:c>
      <x:c r="J16" s="8">
        <x:v>23</x:v>
      </x:c>
      <x:c r="K16" s="8">
        <x:v>29</x:v>
      </x:c>
      <x:c r="L16" s="8">
        <x:v>30</x:v>
      </x:c>
      <x:c r="M16" s="126">
        <x:v>25</x:v>
      </x:c>
      <x:c r="N16" s="8">
        <x:v>29</x:v>
      </x:c>
      <x:c r="O16" s="8">
        <x:v>28</x:v>
      </x:c>
      <x:c r="P16" s="8">
        <x:v>28</x:v>
      </x:c>
      <x:c r="Q16" s="8">
        <x:v>25</x:v>
      </x:c>
      <x:c r="R16" s="8">
        <x:v>28</x:v>
      </x:c>
      <x:c r="S16" s="8">
        <x:v>30</x:v>
      </x:c>
      <x:c r="T16" s="126">
        <x:v>30</x:v>
      </x:c>
      <x:c r="U16" s="8">
        <x:v>30</x:v>
      </x:c>
      <x:c r="V16" s="8">
        <x:v>30</x:v>
      </x:c>
      <x:c r="W16" s="8">
        <x:v>30</x:v>
      </x:c>
      <x:c r="X16" s="8">
        <x:v>23</x:v>
      </x:c>
      <x:c r="Y16" s="8">
        <x:v>30</x:v>
      </x:c>
      <x:c r="Z16" s="126">
        <x:v>30</x:v>
      </x:c>
      <x:c r="AA16" s="8">
        <x:v>30</x:v>
      </x:c>
      <x:c r="AB16" s="8">
        <x:v>30</x:v>
      </x:c>
      <x:c r="AC16" s="8">
        <x:v>30</x:v>
      </x:c>
      <x:c r="AD16" s="8">
        <x:v>28</x:v>
      </x:c>
      <x:c r="AE16" s="8">
        <x:v>15</x:v>
      </x:c>
      <x:c r="AF16" s="8">
        <x:v>28</x:v>
      </x:c>
      <x:c r="AG16" s="63">
        <x:v>29</x:v>
      </x:c>
      <x:c r="AH16" s="9">
        <x:f>SUM(C16:AG16)</x:f>
      </x:c>
      <x:c r="AI16" s="8"/>
      <x:c r="AL16" s="31"/>
      <x:c r="AM16" s="31"/>
      <x:c r="AN16" s="81"/>
      <x:c r="AO16" s="81"/>
      <x:c r="AP16" s="81"/>
      <x:c r="AQ16" s="81"/>
      <x:c r="AR16" s="81"/>
      <x:c r="AS16" s="81"/>
      <x:c r="AT16" s="81"/>
      <x:c r="AU16" s="81"/>
      <x:c r="AV16" s="81"/>
    </x:row>
    <x:row r="17" spans="1:49" x14ac:dyDescent="0.25">
      <x:c r="A17" s="102"/>
      <x:c r="B17" s="125" t="s">
        <x:v>57</x:v>
      </x:c>
      <x:c r="C17" s="63">
        <x:v>20</x:v>
      </x:c>
      <x:c r="D17" s="8">
        <x:v>21</x:v>
      </x:c>
      <x:c r="E17" s="8">
        <x:v>20</x:v>
      </x:c>
      <x:c r="F17" s="8">
        <x:v>21</x:v>
      </x:c>
      <x:c r="G17" s="8">
        <x:v>21</x:v>
      </x:c>
      <x:c r="H17" s="8">
        <x:v>18</x:v>
      </x:c>
      <x:c r="I17" s="8">
        <x:v>20</x:v>
      </x:c>
      <x:c r="J17" s="8">
        <x:v>20</x:v>
      </x:c>
      <x:c r="K17" s="8">
        <x:v>22</x:v>
      </x:c>
      <x:c r="L17" s="8">
        <x:v>22</x:v>
      </x:c>
      <x:c r="M17" s="126">
        <x:v>21</x:v>
      </x:c>
      <x:c r="N17" s="8">
        <x:v>22</x:v>
      </x:c>
      <x:c r="O17" s="8">
        <x:v>21</x:v>
      </x:c>
      <x:c r="P17" s="8">
        <x:v>22</x:v>
      </x:c>
      <x:c r="Q17" s="8">
        <x:v>22</x:v>
      </x:c>
      <x:c r="R17" s="8">
        <x:v>18</x:v>
      </x:c>
      <x:c r="S17" s="8">
        <x:v>18</x:v>
      </x:c>
      <x:c r="T17" s="126">
        <x:v>21</x:v>
      </x:c>
      <x:c r="U17" s="8">
        <x:v>19</x:v>
      </x:c>
      <x:c r="V17" s="8">
        <x:v>20</x:v>
      </x:c>
      <x:c r="W17" s="8">
        <x:v>20</x:v>
      </x:c>
      <x:c r="X17" s="8">
        <x:v>19</x:v>
      </x:c>
      <x:c r="Y17" s="8">
        <x:v>18</x:v>
      </x:c>
      <x:c r="Z17" s="126">
        <x:v>20</x:v>
      </x:c>
      <x:c r="AA17" s="8">
        <x:v>19</x:v>
      </x:c>
      <x:c r="AB17" s="8">
        <x:v>19</x:v>
      </x:c>
      <x:c r="AC17" s="8">
        <x:v>21</x:v>
      </x:c>
      <x:c r="AD17" s="8">
        <x:v>29</x:v>
      </x:c>
      <x:c r="AE17" s="8">
        <x:v>18</x:v>
      </x:c>
      <x:c r="AF17" s="8">
        <x:v>20</x:v>
      </x:c>
      <x:c r="AG17" s="63">
        <x:v>20</x:v>
      </x:c>
      <x:c r="AH17" s="9">
        <x:f>SUM(C17:AG17)</x:f>
      </x:c>
      <x:c r="AI17" s="8"/>
      <x:c r="AL17" s="31"/>
      <x:c r="AM17" s="31"/>
      <x:c r="AN17" s="81"/>
      <x:c r="AO17" s="81"/>
      <x:c r="AP17" s="81"/>
      <x:c r="AQ17" s="81"/>
      <x:c r="AR17" s="81"/>
      <x:c r="AS17" s="81"/>
      <x:c r="AT17" s="81"/>
      <x:c r="AU17" s="81"/>
      <x:c r="AV17" s="81"/>
    </x:row>
    <x:row r="18" spans="1:49" x14ac:dyDescent="0.25">
      <x:c r="A18" s="102"/>
      <x:c r="B18" s="125" t="s">
        <x:v>58</x:v>
      </x:c>
      <x:c r="C18" s="63"/>
      <x:c r="D18" s="8"/>
      <x:c r="E18" s="8">
        <x:v>3</x:v>
      </x:c>
      <x:c r="F18" s="8">
        <x:v>3</x:v>
      </x:c>
      <x:c r="G18" s="8">
        <x:v>3</x:v>
      </x:c>
      <x:c r="H18" s="8">
        <x:v>3</x:v>
      </x:c>
      <x:c r="I18" s="8">
        <x:v>2</x:v>
      </x:c>
      <x:c r="J18" s="8"/>
      <x:c r="K18" s="8">
        <x:v>3</x:v>
      </x:c>
      <x:c r="L18" s="8">
        <x:v>3</x:v>
      </x:c>
      <x:c r="M18" s="126">
        <x:v>3</x:v>
      </x:c>
      <x:c r="N18" s="8">
        <x:v>3</x:v>
      </x:c>
      <x:c r="O18" s="8">
        <x:v>3</x:v>
      </x:c>
      <x:c r="P18" s="8">
        <x:v>1</x:v>
      </x:c>
      <x:c r="Q18" s="8"/>
      <x:c r="R18" s="8">
        <x:v>3</x:v>
      </x:c>
      <x:c r="S18" s="8">
        <x:v>3</x:v>
      </x:c>
      <x:c r="T18" s="126">
        <x:v>3</x:v>
      </x:c>
      <x:c r="U18" s="8">
        <x:v>3</x:v>
      </x:c>
      <x:c r="V18" s="8">
        <x:v>3</x:v>
      </x:c>
      <x:c r="W18" s="8"/>
      <x:c r="X18" s="8"/>
      <x:c r="Y18" s="8">
        <x:v>3</x:v>
      </x:c>
      <x:c r="Z18" s="126">
        <x:v>3</x:v>
      </x:c>
      <x:c r="AA18" s="8">
        <x:v>3</x:v>
      </x:c>
      <x:c r="AB18" s="8">
        <x:v>3</x:v>
      </x:c>
      <x:c r="AC18" s="8">
        <x:v>3</x:v>
      </x:c>
      <x:c r="AD18" s="8">
        <x:v>3</x:v>
      </x:c>
      <x:c r="AE18" s="8"/>
      <x:c r="AF18" s="8">
        <x:v>3</x:v>
      </x:c>
      <x:c r="AG18" s="63">
        <x:v>3</x:v>
      </x:c>
      <x:c r="AH18" s="9">
        <x:f>SUM(C18:AG18)</x:f>
      </x:c>
      <x:c r="AI18" s="8"/>
      <x:c r="AL18" s="31"/>
      <x:c r="AM18" s="31"/>
      <x:c r="AN18" s="81"/>
      <x:c r="AO18" s="81"/>
      <x:c r="AP18" s="81"/>
      <x:c r="AQ18" s="81"/>
      <x:c r="AR18" s="81"/>
      <x:c r="AS18" s="81"/>
      <x:c r="AT18" s="81"/>
      <x:c r="AU18" s="81"/>
      <x:c r="AV18" s="81"/>
    </x:row>
    <x:row r="19" spans="1:49" x14ac:dyDescent="0.25">
      <x:c r="A19" s="102"/>
      <x:c r="B19" s="125" t="s">
        <x:v>59</x:v>
      </x:c>
      <x:c r="C19" s="63"/>
      <x:c r="D19" s="8"/>
      <x:c r="E19" s="8">
        <x:v>6</x:v>
      </x:c>
      <x:c r="F19" s="8">
        <x:v>6</x:v>
      </x:c>
      <x:c r="G19" s="8">
        <x:v>6</x:v>
      </x:c>
      <x:c r="H19" s="8">
        <x:v>6</x:v>
      </x:c>
      <x:c r="I19" s="8">
        <x:v>4</x:v>
      </x:c>
      <x:c r="J19" s="8"/>
      <x:c r="K19" s="8">
        <x:v>6</x:v>
      </x:c>
      <x:c r="L19" s="8">
        <x:v>6</x:v>
      </x:c>
      <x:c r="M19" s="126">
        <x:v>6</x:v>
      </x:c>
      <x:c r="N19" s="8">
        <x:v>6</x:v>
      </x:c>
      <x:c r="O19" s="8">
        <x:v>6</x:v>
      </x:c>
      <x:c r="P19" s="8">
        <x:v>5</x:v>
      </x:c>
      <x:c r="Q19" s="8">
        <x:v>3</x:v>
      </x:c>
      <x:c r="R19" s="8">
        <x:v>6</x:v>
      </x:c>
      <x:c r="S19" s="8">
        <x:v>6</x:v>
      </x:c>
      <x:c r="T19" s="126">
        <x:v>6</x:v>
      </x:c>
      <x:c r="U19" s="8">
        <x:v>6</x:v>
      </x:c>
      <x:c r="V19" s="8">
        <x:v>6</x:v>
      </x:c>
      <x:c r="W19" s="8"/>
      <x:c r="X19" s="8"/>
      <x:c r="Y19" s="8">
        <x:v>6</x:v>
      </x:c>
      <x:c r="Z19" s="126">
        <x:v>6</x:v>
      </x:c>
      <x:c r="AA19" s="8">
        <x:v>6</x:v>
      </x:c>
      <x:c r="AB19" s="8">
        <x:v>6</x:v>
      </x:c>
      <x:c r="AC19" s="8">
        <x:v>6</x:v>
      </x:c>
      <x:c r="AD19" s="8">
        <x:v>5</x:v>
      </x:c>
      <x:c r="AE19" s="8"/>
      <x:c r="AF19" s="8">
        <x:v>6</x:v>
      </x:c>
      <x:c r="AG19" s="63">
        <x:v>6</x:v>
      </x:c>
      <x:c r="AH19" s="9">
        <x:f>SUM(C19:AG19)</x:f>
      </x:c>
      <x:c r="AI19" s="8"/>
      <x:c r="AN19" s="81"/>
      <x:c r="AO19" s="81"/>
      <x:c r="AP19" s="81"/>
      <x:c r="AQ19" s="81"/>
      <x:c r="AR19" s="81"/>
      <x:c r="AS19" s="81"/>
      <x:c r="AT19" s="81"/>
      <x:c r="AU19" s="81"/>
      <x:c r="AV19" s="81"/>
    </x:row>
    <x:row r="20" spans="1:49" x14ac:dyDescent="0.25">
      <x:c r="A20" s="102"/>
      <x:c r="B20" s="125" t="s">
        <x:v>60</x:v>
      </x:c>
      <x:c r="C20" s="63"/>
      <x:c r="D20" s="8">
        <x:v>8</x:v>
      </x:c>
      <x:c r="E20" s="8">
        <x:v>5</x:v>
      </x:c>
      <x:c r="F20" s="8">
        <x:v>8</x:v>
      </x:c>
      <x:c r="G20" s="8">
        <x:v>8</x:v>
      </x:c>
      <x:c r="H20" s="8">
        <x:v>8</x:v>
      </x:c>
      <x:c r="I20" s="8">
        <x:v>6</x:v>
      </x:c>
      <x:c r="J20" s="8"/>
      <x:c r="K20" s="8">
        <x:v>8</x:v>
      </x:c>
      <x:c r="L20" s="8">
        <x:v>8</x:v>
      </x:c>
      <x:c r="M20" s="126">
        <x:v>8</x:v>
      </x:c>
      <x:c r="N20" s="8">
        <x:v>8</x:v>
      </x:c>
      <x:c r="O20" s="8">
        <x:v>8</x:v>
      </x:c>
      <x:c r="P20" s="8">
        <x:v>7</x:v>
      </x:c>
      <x:c r="Q20" s="8">
        <x:v>7</x:v>
      </x:c>
      <x:c r="R20" s="8">
        <x:v>8</x:v>
      </x:c>
      <x:c r="S20" s="8">
        <x:v>8</x:v>
      </x:c>
      <x:c r="T20" s="126">
        <x:v>8</x:v>
      </x:c>
      <x:c r="U20" s="8">
        <x:v>8</x:v>
      </x:c>
      <x:c r="V20" s="8">
        <x:v>8</x:v>
      </x:c>
      <x:c r="W20" s="8">
        <x:v>2</x:v>
      </x:c>
      <x:c r="X20" s="8"/>
      <x:c r="Y20" s="8">
        <x:v>8</x:v>
      </x:c>
      <x:c r="Z20" s="126">
        <x:v>8</x:v>
      </x:c>
      <x:c r="AA20" s="8">
        <x:v>8</x:v>
      </x:c>
      <x:c r="AB20" s="8">
        <x:v>8</x:v>
      </x:c>
      <x:c r="AC20" s="8">
        <x:v>8</x:v>
      </x:c>
      <x:c r="AD20" s="8">
        <x:v>8</x:v>
      </x:c>
      <x:c r="AE20" s="8"/>
      <x:c r="AF20" s="8">
        <x:v>8</x:v>
      </x:c>
      <x:c r="AG20" s="63">
        <x:v>8</x:v>
      </x:c>
      <x:c r="AH20" s="9">
        <x:f>SUM(C20:AG20)</x:f>
      </x:c>
      <x:c r="AI20" s="8"/>
      <x:c r="AN20" s="81"/>
      <x:c r="AO20" s="81"/>
      <x:c r="AP20" s="81"/>
      <x:c r="AQ20" s="81"/>
      <x:c r="AR20" s="81"/>
      <x:c r="AS20" s="81"/>
      <x:c r="AT20" s="81"/>
      <x:c r="AU20" s="81"/>
      <x:c r="AV20" s="81"/>
    </x:row>
    <x:row r="21" spans="1:49" x14ac:dyDescent="0.25">
      <x:c r="A21" s="102"/>
      <x:c r="B21" s="125" t="s">
        <x:v>61</x:v>
      </x:c>
      <x:c r="C21" s="67">
        <x:v>10</x:v>
      </x:c>
      <x:c r="D21" s="8">
        <x:v>10</x:v>
      </x:c>
      <x:c r="E21" s="8">
        <x:v>10</x:v>
      </x:c>
      <x:c r="F21" s="8">
        <x:v>10</x:v>
      </x:c>
      <x:c r="G21" s="8">
        <x:v>10</x:v>
      </x:c>
      <x:c r="H21" s="8">
        <x:v>10</x:v>
      </x:c>
      <x:c r="I21" s="8">
        <x:v>10</x:v>
      </x:c>
      <x:c r="J21" s="8">
        <x:v>10</x:v>
      </x:c>
      <x:c r="K21" s="8">
        <x:v>10</x:v>
      </x:c>
      <x:c r="L21" s="8">
        <x:v>10</x:v>
      </x:c>
      <x:c r="M21" s="126">
        <x:v>10</x:v>
      </x:c>
      <x:c r="N21" s="8">
        <x:v>10</x:v>
      </x:c>
      <x:c r="O21" s="8">
        <x:v>10</x:v>
      </x:c>
      <x:c r="P21" s="8">
        <x:v>10</x:v>
      </x:c>
      <x:c r="Q21" s="8">
        <x:v>10</x:v>
      </x:c>
      <x:c r="R21" s="8">
        <x:v>10</x:v>
      </x:c>
      <x:c r="S21" s="8">
        <x:v>10</x:v>
      </x:c>
      <x:c r="T21" s="126">
        <x:v>10</x:v>
      </x:c>
      <x:c r="U21" s="8">
        <x:v>10</x:v>
      </x:c>
      <x:c r="V21" s="8">
        <x:v>10</x:v>
      </x:c>
      <x:c r="W21" s="8">
        <x:v>10</x:v>
      </x:c>
      <x:c r="X21" s="8">
        <x:v>10</x:v>
      </x:c>
      <x:c r="Y21" s="8">
        <x:v>10</x:v>
      </x:c>
      <x:c r="Z21" s="126">
        <x:v>10</x:v>
      </x:c>
      <x:c r="AA21" s="8">
        <x:v>10</x:v>
      </x:c>
      <x:c r="AB21" s="8">
        <x:v>10</x:v>
      </x:c>
      <x:c r="AC21" s="8">
        <x:v>10</x:v>
      </x:c>
      <x:c r="AD21" s="8">
        <x:v>10</x:v>
      </x:c>
      <x:c r="AE21" s="8">
        <x:v>10</x:v>
      </x:c>
      <x:c r="AF21" s="8">
        <x:v>10</x:v>
      </x:c>
      <x:c r="AG21" s="67">
        <x:v>10</x:v>
      </x:c>
      <x:c r="AH21" s="9">
        <x:f>SUM(C21:AG21)</x:f>
      </x:c>
      <x:c r="AI21" s="8"/>
      <x:c r="AN21" s="81"/>
      <x:c r="AO21" s="81"/>
      <x:c r="AP21" s="81"/>
      <x:c r="AQ21" s="81"/>
      <x:c r="AR21" s="81"/>
      <x:c r="AS21" s="81"/>
      <x:c r="AT21" s="81"/>
      <x:c r="AU21" s="81"/>
      <x:c r="AV21" s="81"/>
    </x:row>
    <x:row r="22" spans="1:49" ht="21.75" customHeight="1" x14ac:dyDescent="0.4">
      <x:c r="A22" s="103"/>
      <x:c r="B22" s="145" t="s">
        <x:v>34</x:v>
      </x:c>
      <x:c r="C22" s="146">
        <x:f>SUM(C3:C21)</x:f>
      </x:c>
      <x:c r="D22" s="146">
        <x:f>SUM(D3:D21)</x:f>
      </x:c>
      <x:c r="E22" s="146">
        <x:f>SUM(E3:E21)</x:f>
      </x:c>
      <x:c r="F22" s="146">
        <x:f>SUM(F3:F21)</x:f>
      </x:c>
      <x:c r="G22" s="146">
        <x:f>SUM(G3:G21)</x:f>
      </x:c>
      <x:c r="H22" s="146">
        <x:f>SUM(H3:H21)</x:f>
      </x:c>
      <x:c r="I22" s="146">
        <x:f>SUM(I3:I21)</x:f>
      </x:c>
      <x:c r="J22" s="146">
        <x:f>SUM(J3:J21)</x:f>
      </x:c>
      <x:c r="K22" s="146">
        <x:f>SUM(K3:K21)</x:f>
      </x:c>
      <x:c r="L22" s="146">
        <x:f>SUM(L3:L21)</x:f>
      </x:c>
      <x:c r="M22" s="147">
        <x:f>SUM(M3:M21)</x:f>
      </x:c>
      <x:c r="N22" s="146">
        <x:f>SUM(N3:N21)</x:f>
      </x:c>
      <x:c r="O22" s="146">
        <x:f>SUM(O3:O21)</x:f>
      </x:c>
      <x:c r="P22" s="146">
        <x:f>SUM(P3:P21)</x:f>
      </x:c>
      <x:c r="Q22" s="146">
        <x:f>SUM(Q3:Q21)</x:f>
      </x:c>
      <x:c r="R22" s="146">
        <x:f>SUM(R3:R21)</x:f>
      </x:c>
      <x:c r="S22" s="146">
        <x:f>SUM(S3:S21)</x:f>
      </x:c>
      <x:c r="T22" s="147">
        <x:f>SUM(T3:T21)</x:f>
      </x:c>
      <x:c r="U22" s="146">
        <x:f>SUM(U3:U21)</x:f>
      </x:c>
      <x:c r="V22" s="146">
        <x:f>SUM(V3:V21)</x:f>
      </x:c>
      <x:c r="W22" s="146">
        <x:f>SUM(W3:W21)</x:f>
      </x:c>
      <x:c r="X22" s="146">
        <x:f>SUM(X3:X21)</x:f>
      </x:c>
      <x:c r="Y22" s="146">
        <x:f>SUM(Y3:Y21)</x:f>
      </x:c>
      <x:c r="Z22" s="147">
        <x:f>SUM(Z3:Z21)</x:f>
      </x:c>
      <x:c r="AA22" s="146">
        <x:f>SUM(AA3:AA21)</x:f>
      </x:c>
      <x:c r="AB22" s="146">
        <x:f>SUM(AB3:AB21)</x:f>
      </x:c>
      <x:c r="AC22" s="146">
        <x:f>SUM(AC3:AC21)</x:f>
      </x:c>
      <x:c r="AD22" s="146">
        <x:f>SUM(AD3:AD21)</x:f>
      </x:c>
      <x:c r="AE22" s="146">
        <x:f>SUM(AE3:AE21)</x:f>
      </x:c>
      <x:c r="AF22" s="146">
        <x:f>SUM(AF3:AF21)</x:f>
      </x:c>
      <x:c r="AG22" s="146">
        <x:f>SUM(AG3:AG21)</x:f>
      </x:c>
      <x:c r="AH22" s="146">
        <x:f>SUM(AH3:AH21)</x:f>
      </x:c>
      <x:c r="AI22" s="146"/>
      <x:c r="AJ22" s="20"/>
      <x:c r="AK22" s="20"/>
      <x:c r="AL22" s="59"/>
      <x:c r="AM22" s="59"/>
      <x:c r="AN22" s="81"/>
      <x:c r="AO22" s="81"/>
      <x:c r="AP22" s="81"/>
      <x:c r="AQ22" s="81"/>
      <x:c r="AR22" s="81"/>
      <x:c r="AS22" s="81"/>
      <x:c r="AT22" s="81"/>
      <x:c r="AU22" s="81"/>
      <x:c r="AV22" s="81"/>
    </x:row>
    <x:row r="23" spans="1:49" x14ac:dyDescent="0.25">
      <x:c r="A23" s="21"/>
      <x:c r="B23" s="148" t="s">
        <x:v>36</x:v>
      </x:c>
      <x:c r="C23" s="49"/>
      <x:c r="D23" s="49">
        <x:v>1</x:v>
      </x:c>
      <x:c r="E23" s="8">
        <x:v>1</x:v>
      </x:c>
      <x:c r="F23" s="8">
        <x:v>1</x:v>
      </x:c>
      <x:c r="G23" s="8">
        <x:v>1</x:v>
      </x:c>
      <x:c r="H23" s="8">
        <x:v>1</x:v>
      </x:c>
      <x:c r="I23" s="49">
        <x:v>1</x:v>
      </x:c>
      <x:c r="J23" s="49">
        <x:v>1</x:v>
      </x:c>
      <x:c r="K23" s="49">
        <x:v>1</x:v>
      </x:c>
      <x:c r="L23" s="8">
        <x:v>1</x:v>
      </x:c>
      <x:c r="M23" s="8">
        <x:v>1</x:v>
      </x:c>
      <x:c r="N23" s="8">
        <x:v>1</x:v>
      </x:c>
      <x:c r="O23" s="8">
        <x:v>1</x:v>
      </x:c>
      <x:c r="P23" s="8"/>
      <x:c r="Q23" s="8">
        <x:v>1</x:v>
      </x:c>
      <x:c r="R23" s="8">
        <x:v>1</x:v>
      </x:c>
      <x:c r="S23" s="8">
        <x:v>1</x:v>
      </x:c>
      <x:c r="T23" s="8">
        <x:v>1</x:v>
      </x:c>
      <x:c r="U23" s="8">
        <x:v>1</x:v>
      </x:c>
      <x:c r="V23" s="8">
        <x:v>2</x:v>
      </x:c>
      <x:c r="W23" s="8">
        <x:v>2</x:v>
      </x:c>
      <x:c r="X23" s="8">
        <x:v>2</x:v>
      </x:c>
      <x:c r="Y23" s="8">
        <x:v>1</x:v>
      </x:c>
      <x:c r="Z23" s="8">
        <x:v>1</x:v>
      </x:c>
      <x:c r="AA23" s="8">
        <x:v>1</x:v>
      </x:c>
      <x:c r="AB23" s="8">
        <x:v>1</x:v>
      </x:c>
      <x:c r="AC23" s="8">
        <x:v>1</x:v>
      </x:c>
      <x:c r="AD23" s="8">
        <x:v>1</x:v>
      </x:c>
      <x:c r="AE23" s="8">
        <x:v>1</x:v>
      </x:c>
      <x:c r="AF23" s="8">
        <x:v>1</x:v>
      </x:c>
      <x:c r="AG23" s="8">
        <x:v>1</x:v>
      </x:c>
      <x:c r="AH23" s="9">
        <x:f>SUM(C23:AG23)</x:f>
      </x:c>
      <x:c r="AI23" s="8"/>
      <x:c r="AN23" s="81"/>
      <x:c r="AO23" s="81"/>
      <x:c r="AP23" s="81"/>
      <x:c r="AQ23" s="81"/>
      <x:c r="AR23" s="81"/>
      <x:c r="AS23" s="81"/>
      <x:c r="AT23" s="81"/>
      <x:c r="AU23" s="81"/>
      <x:c r="AV23" s="81"/>
    </x:row>
    <x:row r="24" spans="1:49" x14ac:dyDescent="0.25">
      <x:c r="A24" s="21"/>
      <x:c r="B24" s="148" t="s">
        <x:v>37</x:v>
      </x:c>
      <x:c r="C24" s="49"/>
      <x:c r="D24" s="49"/>
      <x:c r="E24" s="8"/>
      <x:c r="F24" s="8"/>
      <x:c r="G24" s="8"/>
      <x:c r="H24" s="8"/>
      <x:c r="I24" s="49"/>
      <x:c r="J24" s="49"/>
      <x:c r="K24" s="49"/>
      <x:c r="L24" s="9"/>
      <x:c r="M24" s="9"/>
      <x:c r="N24" s="9"/>
      <x:c r="O24" s="9"/>
      <x:c r="P24" s="8"/>
      <x:c r="Q24" s="8"/>
      <x:c r="R24" s="8"/>
      <x:c r="S24" s="8"/>
      <x:c r="T24" s="9"/>
      <x:c r="U24" s="9"/>
      <x:c r="V24" s="9"/>
      <x:c r="W24" s="9"/>
      <x:c r="X24" s="9"/>
      <x:c r="Y24" s="9"/>
      <x:c r="Z24" s="9"/>
      <x:c r="AA24" s="9"/>
      <x:c r="AB24" s="9"/>
      <x:c r="AC24" s="9"/>
      <x:c r="AD24" s="9"/>
      <x:c r="AE24" s="9"/>
      <x:c r="AF24" s="8"/>
      <x:c r="AG24" s="8"/>
      <x:c r="AH24" s="9">
        <x:f>SUM(C24:AG24)</x:f>
      </x:c>
      <x:c r="AI24" s="8"/>
      <x:c r="AN24" s="81"/>
      <x:c r="AO24" s="81"/>
      <x:c r="AP24" s="81"/>
      <x:c r="AQ24" s="81"/>
      <x:c r="AR24" s="81"/>
      <x:c r="AS24" s="81"/>
      <x:c r="AT24" s="81"/>
      <x:c r="AU24" s="81"/>
      <x:c r="AV24" s="81"/>
    </x:row>
    <x:row r="25" spans="1:49" x14ac:dyDescent="0.25">
      <x:c r="A25" s="21" t="s">
        <x:v>62</x:v>
      </x:c>
      <x:c r="B25" s="148" t="s">
        <x:v>44</x:v>
      </x:c>
      <x:c r="C25" s="49"/>
      <x:c r="D25" s="49">
        <x:v>5</x:v>
      </x:c>
      <x:c r="E25" s="8"/>
      <x:c r="F25" s="8">
        <x:v>4</x:v>
      </x:c>
      <x:c r="G25" s="8">
        <x:v>4</x:v>
      </x:c>
      <x:c r="H25" s="8">
        <x:v>5</x:v>
      </x:c>
      <x:c r="I25" s="49">
        <x:v>6</x:v>
      </x:c>
      <x:c r="J25" s="49"/>
      <x:c r="K25" s="49"/>
      <x:c r="L25" s="8"/>
      <x:c r="M25" s="8"/>
      <x:c r="N25" s="8"/>
      <x:c r="O25" s="8"/>
      <x:c r="P25" s="8"/>
      <x:c r="Q25" s="8">
        <x:v>4</x:v>
      </x:c>
      <x:c r="R25" s="8"/>
      <x:c r="S25" s="8"/>
      <x:c r="T25" s="8"/>
      <x:c r="U25" s="8"/>
      <x:c r="V25" s="8"/>
      <x:c r="W25" s="8"/>
      <x:c r="X25" s="8"/>
      <x:c r="Y25" s="8"/>
      <x:c r="Z25" s="8"/>
      <x:c r="AA25" s="8"/>
      <x:c r="AB25" s="8"/>
      <x:c r="AC25" s="8"/>
      <x:c r="AD25" s="8"/>
      <x:c r="AE25" s="8"/>
      <x:c r="AF25" s="8"/>
      <x:c r="AG25" s="8">
        <x:v>4</x:v>
      </x:c>
      <x:c r="AH25" s="9">
        <x:f>SUM(C25:AG25)</x:f>
      </x:c>
      <x:c r="AI25" s="8"/>
      <x:c r="AN25" s="81"/>
      <x:c r="AO25" s="81"/>
      <x:c r="AP25" s="81"/>
      <x:c r="AQ25" s="81"/>
      <x:c r="AR25" s="81"/>
      <x:c r="AS25" s="81"/>
      <x:c r="AT25" s="81"/>
      <x:c r="AU25" s="81"/>
      <x:c r="AV25" s="81"/>
    </x:row>
    <x:row r="26" spans="1:49" x14ac:dyDescent="0.25">
      <x:c r="A26" s="21"/>
      <x:c r="B26" s="148" t="s">
        <x:v>45</x:v>
      </x:c>
      <x:c r="C26" s="49"/>
      <x:c r="D26" s="49"/>
      <x:c r="E26" s="8"/>
      <x:c r="F26" s="8"/>
      <x:c r="G26" s="8"/>
      <x:c r="H26" s="8"/>
      <x:c r="I26" s="49"/>
      <x:c r="J26" s="49"/>
      <x:c r="K26" s="49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  <x:c r="AA26" s="8"/>
      <x:c r="AB26" s="8"/>
      <x:c r="AC26" s="8"/>
      <x:c r="AD26" s="8"/>
      <x:c r="AE26" s="8"/>
      <x:c r="AF26" s="8"/>
      <x:c r="AG26" s="8"/>
      <x:c r="AH26" s="9">
        <x:f>SUM(C26:AG26)</x:f>
      </x:c>
      <x:c r="AI26" s="8"/>
      <x:c r="AN26" s="81"/>
      <x:c r="AO26" s="81"/>
      <x:c r="AP26" s="81"/>
      <x:c r="AQ26" s="81"/>
      <x:c r="AR26" s="81"/>
      <x:c r="AS26" s="81"/>
      <x:c r="AT26" s="81"/>
      <x:c r="AU26" s="81"/>
      <x:c r="AV26" s="81"/>
    </x:row>
    <x:row r="27" spans="1:49" x14ac:dyDescent="0.25">
      <x:c r="A27" s="21"/>
      <x:c r="B27" s="148" t="s">
        <x:v>46</x:v>
      </x:c>
      <x:c r="C27" s="49"/>
      <x:c r="D27" s="49"/>
      <x:c r="E27" s="8"/>
      <x:c r="F27" s="8"/>
      <x:c r="G27" s="8"/>
      <x:c r="H27" s="8"/>
      <x:c r="I27" s="49"/>
      <x:c r="J27" s="49"/>
      <x:c r="K27" s="49"/>
      <x:c r="L27" s="8"/>
      <x:c r="M27" s="8"/>
      <x:c r="N27" s="8"/>
      <x:c r="O27" s="8"/>
      <x:c r="P27" s="8"/>
      <x:c r="Q27" s="8"/>
      <x:c r="R27" s="8">
        <x:v>2</x:v>
      </x:c>
      <x:c r="S27" s="8"/>
      <x:c r="T27" s="8"/>
      <x:c r="U27" s="8"/>
      <x:c r="V27" s="8"/>
      <x:c r="W27" s="8"/>
      <x:c r="X27" s="8"/>
      <x:c r="Y27" s="8"/>
      <x:c r="Z27" s="8"/>
      <x:c r="AA27" s="8"/>
      <x:c r="AB27" s="8"/>
      <x:c r="AC27" s="8"/>
      <x:c r="AD27" s="8"/>
      <x:c r="AE27" s="8"/>
      <x:c r="AF27" s="8"/>
      <x:c r="AG27" s="8"/>
      <x:c r="AH27" s="9">
        <x:f>SUM(C27:AG27)</x:f>
      </x:c>
      <x:c r="AI27" s="8"/>
      <x:c r="AL27" s="31"/>
      <x:c r="AM27" s="31"/>
      <x:c r="AN27" s="81"/>
      <x:c r="AO27" s="81"/>
      <x:c r="AP27" s="81"/>
      <x:c r="AQ27" s="81"/>
      <x:c r="AR27" s="81"/>
      <x:c r="AS27" s="81"/>
      <x:c r="AT27" s="81"/>
      <x:c r="AU27" s="81"/>
      <x:c r="AV27" s="81"/>
    </x:row>
    <x:row r="28" spans="1:49" x14ac:dyDescent="0.25">
      <x:c r="A28" s="21"/>
      <x:c r="B28" s="148" t="s">
        <x:v>48</x:v>
      </x:c>
      <x:c r="C28" s="49">
        <x:v>4</x:v>
      </x:c>
      <x:c r="D28" s="49">
        <x:v>4</x:v>
      </x:c>
      <x:c r="E28" s="8">
        <x:v>4</x:v>
      </x:c>
      <x:c r="F28" s="8">
        <x:v>4</x:v>
      </x:c>
      <x:c r="G28" s="8">
        <x:v>4</x:v>
      </x:c>
      <x:c r="H28" s="8">
        <x:v>4</x:v>
      </x:c>
      <x:c r="I28" s="49">
        <x:v>5</x:v>
      </x:c>
      <x:c r="J28" s="49">
        <x:v>3</x:v>
      </x:c>
      <x:c r="K28" s="49">
        <x:v>5</x:v>
      </x:c>
      <x:c r="L28" s="8">
        <x:v>5</x:v>
      </x:c>
      <x:c r="M28" s="8">
        <x:v>5</x:v>
      </x:c>
      <x:c r="N28" s="8">
        <x:v>5</x:v>
      </x:c>
      <x:c r="O28" s="8">
        <x:v>5</x:v>
      </x:c>
      <x:c r="P28" s="8">
        <x:v>5</x:v>
      </x:c>
      <x:c r="Q28" s="8">
        <x:v>5</x:v>
      </x:c>
      <x:c r="R28" s="8">
        <x:v>5</x:v>
      </x:c>
      <x:c r="S28" s="8">
        <x:v>4</x:v>
      </x:c>
      <x:c r="T28" s="8">
        <x:v>4</x:v>
      </x:c>
      <x:c r="U28" s="8">
        <x:v>4</x:v>
      </x:c>
      <x:c r="V28" s="8">
        <x:v>4</x:v>
      </x:c>
      <x:c r="W28" s="8">
        <x:v>5</x:v>
      </x:c>
      <x:c r="X28" s="8">
        <x:v>5</x:v>
      </x:c>
      <x:c r="Y28" s="8">
        <x:v>4</x:v>
      </x:c>
      <x:c r="Z28" s="8">
        <x:v>4</x:v>
      </x:c>
      <x:c r="AA28" s="8">
        <x:v>4</x:v>
      </x:c>
      <x:c r="AB28" s="8">
        <x:v>4</x:v>
      </x:c>
      <x:c r="AC28" s="8">
        <x:v>4</x:v>
      </x:c>
      <x:c r="AD28" s="8">
        <x:v>4</x:v>
      </x:c>
      <x:c r="AE28" s="8">
        <x:v>4</x:v>
      </x:c>
      <x:c r="AF28" s="8">
        <x:v>4</x:v>
      </x:c>
      <x:c r="AG28" s="8">
        <x:v>4</x:v>
      </x:c>
      <x:c r="AH28" s="9">
        <x:f>SUM(C28:AG28)</x:f>
      </x:c>
      <x:c r="AI28" s="8"/>
      <x:c r="AN28" s="81"/>
      <x:c r="AO28" s="81"/>
      <x:c r="AP28" s="81"/>
      <x:c r="AQ28" s="81"/>
      <x:c r="AR28" s="81"/>
      <x:c r="AS28" s="81"/>
      <x:c r="AT28" s="81"/>
      <x:c r="AU28" s="81"/>
      <x:c r="AV28" s="81"/>
    </x:row>
    <x:row r="29" spans="1:49" x14ac:dyDescent="0.25">
      <x:c r="A29" s="21"/>
      <x:c r="B29" s="148" t="s">
        <x:v>49</x:v>
      </x:c>
      <x:c r="C29" s="49"/>
      <x:c r="D29" s="49"/>
      <x:c r="E29" s="8">
        <x:v>3</x:v>
      </x:c>
      <x:c r="F29" s="8">
        <x:v>5</x:v>
      </x:c>
      <x:c r="G29" s="8">
        <x:v>3</x:v>
      </x:c>
      <x:c r="H29" s="8"/>
      <x:c r="I29" s="49"/>
      <x:c r="J29" s="49"/>
      <x:c r="K29" s="49"/>
      <x:c r="L29" s="8"/>
      <x:c r="M29" s="8">
        <x:v>3</x:v>
      </x:c>
      <x:c r="N29" s="8">
        <x:v>3</x:v>
      </x:c>
      <x:c r="O29" s="8">
        <x:v>3</x:v>
      </x:c>
      <x:c r="P29" s="8"/>
      <x:c r="Q29" s="8"/>
      <x:c r="R29" s="8"/>
      <x:c r="S29" s="8">
        <x:v>3</x:v>
      </x:c>
      <x:c r="T29" s="8">
        <x:v>3</x:v>
      </x:c>
      <x:c r="U29" s="8">
        <x:v>5</x:v>
      </x:c>
      <x:c r="V29" s="8">
        <x:v>5</x:v>
      </x:c>
      <x:c r="W29" s="8"/>
      <x:c r="X29" s="8"/>
      <x:c r="Y29" s="8">
        <x:v>5</x:v>
      </x:c>
      <x:c r="Z29" s="8">
        <x:v>5</x:v>
      </x:c>
      <x:c r="AA29" s="8">
        <x:v>5</x:v>
      </x:c>
      <x:c r="AB29" s="8">
        <x:v>5</x:v>
      </x:c>
      <x:c r="AC29" s="8"/>
      <x:c r="AD29" s="8"/>
      <x:c r="AE29" s="8"/>
      <x:c r="AF29" s="8">
        <x:v>3</x:v>
      </x:c>
      <x:c r="AG29" s="58">
        <x:v>5</x:v>
      </x:c>
      <x:c r="AH29" s="9">
        <x:f>SUM(C29:AG29)</x:f>
      </x:c>
      <x:c r="AI29" s="8"/>
      <x:c r="AN29" s="81"/>
      <x:c r="AO29" s="81"/>
      <x:c r="AP29" s="81"/>
      <x:c r="AQ29" s="81"/>
      <x:c r="AR29" s="81"/>
      <x:c r="AS29" s="81"/>
      <x:c r="AT29" s="81"/>
      <x:c r="AU29" s="81"/>
      <x:c r="AV29" s="81"/>
    </x:row>
    <x:row r="30" spans="1:49" x14ac:dyDescent="0.25">
      <x:c r="A30" s="21"/>
      <x:c r="B30" s="148" t="s">
        <x:v>63</x:v>
      </x:c>
      <x:c r="C30" s="49">
        <x:v>37</x:v>
      </x:c>
      <x:c r="D30" s="49">
        <x:v>43</x:v>
      </x:c>
      <x:c r="E30" s="8">
        <x:v>43</x:v>
      </x:c>
      <x:c r="F30" s="8">
        <x:v>43</x:v>
      </x:c>
      <x:c r="G30" s="8">
        <x:v>43</x:v>
      </x:c>
      <x:c r="H30" s="49">
        <x:v>43</x:v>
      </x:c>
      <x:c r="I30" s="49">
        <x:v>41</x:v>
      </x:c>
      <x:c r="J30" s="49">
        <x:v>37</x:v>
      </x:c>
      <x:c r="K30" s="49">
        <x:v>37</x:v>
      </x:c>
      <x:c r="L30" s="8">
        <x:v>41</x:v>
      </x:c>
      <x:c r="M30" s="8">
        <x:v>34</x:v>
      </x:c>
      <x:c r="N30" s="8">
        <x:v>34</x:v>
      </x:c>
      <x:c r="O30" s="8">
        <x:v>41</x:v>
      </x:c>
      <x:c r="P30" s="8">
        <x:v>38</x:v>
      </x:c>
      <x:c r="Q30" s="8">
        <x:v>30</x:v>
      </x:c>
      <x:c r="R30" s="8">
        <x:v>37</x:v>
      </x:c>
      <x:c r="S30" s="8">
        <x:v>37</x:v>
      </x:c>
      <x:c r="T30" s="8">
        <x:v>37</x:v>
      </x:c>
      <x:c r="U30" s="8">
        <x:v>37</x:v>
      </x:c>
      <x:c r="V30" s="8">
        <x:v>37</x:v>
      </x:c>
      <x:c r="W30" s="8">
        <x:v>39</x:v>
      </x:c>
      <x:c r="X30" s="8">
        <x:v>29</x:v>
      </x:c>
      <x:c r="Y30" s="8">
        <x:v>41</x:v>
      </x:c>
      <x:c r="Z30" s="8">
        <x:v>40</x:v>
      </x:c>
      <x:c r="AA30" s="8">
        <x:v>40</x:v>
      </x:c>
      <x:c r="AB30" s="8">
        <x:v>40</x:v>
      </x:c>
      <x:c r="AC30" s="8">
        <x:v>40</x:v>
      </x:c>
      <x:c r="AD30" s="8">
        <x:v>25</x:v>
      </x:c>
      <x:c r="AE30" s="8">
        <x:v>20</x:v>
      </x:c>
      <x:c r="AF30" s="58">
        <x:v>39</x:v>
      </x:c>
      <x:c r="AG30" s="58">
        <x:v>39</x:v>
      </x:c>
      <x:c r="AH30" s="9">
        <x:f>SUM(C30:AG30)</x:f>
      </x:c>
      <x:c r="AI30" s="8"/>
      <x:c r="AN30" s="81"/>
      <x:c r="AO30" s="81"/>
      <x:c r="AP30" s="81"/>
      <x:c r="AQ30" s="81"/>
      <x:c r="AR30" s="81"/>
      <x:c r="AS30" s="81"/>
      <x:c r="AT30" s="81"/>
      <x:c r="AU30" s="81"/>
      <x:c r="AV30" s="81"/>
    </x:row>
    <x:row r="31" spans="1:49" x14ac:dyDescent="0.25">
      <x:c r="A31" s="21"/>
      <x:c r="B31" s="148" t="s">
        <x:v>51</x:v>
      </x:c>
      <x:c r="C31" s="49">
        <x:v>20</x:v>
      </x:c>
      <x:c r="D31" s="49">
        <x:v>26</x:v>
      </x:c>
      <x:c r="E31" s="8">
        <x:v>26</x:v>
      </x:c>
      <x:c r="F31" s="8">
        <x:v>26</x:v>
      </x:c>
      <x:c r="G31" s="8">
        <x:v>26</x:v>
      </x:c>
      <x:c r="H31" s="8">
        <x:v>26</x:v>
      </x:c>
      <x:c r="I31" s="49">
        <x:v>20</x:v>
      </x:c>
      <x:c r="J31" s="49">
        <x:v>20</x:v>
      </x:c>
      <x:c r="K31" s="49">
        <x:v>26</x:v>
      </x:c>
      <x:c r="L31" s="8">
        <x:v>24</x:v>
      </x:c>
      <x:c r="M31" s="8">
        <x:v>26</x:v>
      </x:c>
      <x:c r="N31" s="8">
        <x:v>26</x:v>
      </x:c>
      <x:c r="O31" s="8">
        <x:v>26</x:v>
      </x:c>
      <x:c r="P31" s="8">
        <x:v>20</x:v>
      </x:c>
      <x:c r="Q31" s="8">
        <x:v>20</x:v>
      </x:c>
      <x:c r="R31" s="8">
        <x:v>25</x:v>
      </x:c>
      <x:c r="S31" s="8">
        <x:v>25</x:v>
      </x:c>
      <x:c r="T31" s="8">
        <x:v>25</x:v>
      </x:c>
      <x:c r="U31" s="8">
        <x:v>25</x:v>
      </x:c>
      <x:c r="V31" s="8">
        <x:v>25</x:v>
      </x:c>
      <x:c r="W31" s="8">
        <x:v>20</x:v>
      </x:c>
      <x:c r="X31" s="8">
        <x:v>10</x:v>
      </x:c>
      <x:c r="Y31" s="8">
        <x:v>25</x:v>
      </x:c>
      <x:c r="Z31" s="8">
        <x:v>25</x:v>
      </x:c>
      <x:c r="AA31" s="8">
        <x:v>25</x:v>
      </x:c>
      <x:c r="AB31" s="8">
        <x:v>25</x:v>
      </x:c>
      <x:c r="AC31" s="8">
        <x:v>25</x:v>
      </x:c>
      <x:c r="AD31" s="8">
        <x:v>25</x:v>
      </x:c>
      <x:c r="AE31" s="8"/>
      <x:c r="AF31" s="58">
        <x:v>25</x:v>
      </x:c>
      <x:c r="AG31" s="58">
        <x:v>25</x:v>
      </x:c>
      <x:c r="AH31" s="9">
        <x:f>SUM(C31:AG31)</x:f>
      </x:c>
      <x:c r="AI31" s="8"/>
      <x:c r="AK31" s="3"/>
      <x:c r="AN31" s="81"/>
      <x:c r="AO31" s="81"/>
      <x:c r="AP31" s="81"/>
      <x:c r="AQ31" s="81"/>
      <x:c r="AR31" s="81"/>
      <x:c r="AS31" s="81"/>
      <x:c r="AT31" s="81"/>
      <x:c r="AU31" s="81"/>
      <x:c r="AV31" s="81"/>
      <x:c r="AW31" s="0">
        <x:v>5</x:v>
      </x:c>
    </x:row>
    <x:row r="32" spans="1:49" x14ac:dyDescent="0.25">
      <x:c r="A32" s="21"/>
      <x:c r="B32" s="148" t="s">
        <x:v>52</x:v>
      </x:c>
      <x:c r="C32" s="49">
        <x:v>18</x:v>
      </x:c>
      <x:c r="D32" s="49">
        <x:v>17</x:v>
      </x:c>
      <x:c r="E32" s="8">
        <x:v>20</x:v>
      </x:c>
      <x:c r="F32" s="8">
        <x:v>19</x:v>
      </x:c>
      <x:c r="G32" s="8">
        <x:v>20</x:v>
      </x:c>
      <x:c r="H32" s="8">
        <x:v>20</x:v>
      </x:c>
      <x:c r="I32" s="49">
        <x:v>20</x:v>
      </x:c>
      <x:c r="J32" s="49">
        <x:v>18</x:v>
      </x:c>
      <x:c r="K32" s="49">
        <x:v>20</x:v>
      </x:c>
      <x:c r="L32" s="8">
        <x:v>20</x:v>
      </x:c>
      <x:c r="M32" s="8">
        <x:v>21</x:v>
      </x:c>
      <x:c r="N32" s="8">
        <x:v>19</x:v>
      </x:c>
      <x:c r="O32" s="8">
        <x:v>20</x:v>
      </x:c>
      <x:c r="P32" s="8">
        <x:v>20</x:v>
      </x:c>
      <x:c r="Q32" s="8">
        <x:v>15</x:v>
      </x:c>
      <x:c r="R32" s="8">
        <x:v>19</x:v>
      </x:c>
      <x:c r="S32" s="8">
        <x:v>16</x:v>
      </x:c>
      <x:c r="T32" s="8">
        <x:v>18</x:v>
      </x:c>
      <x:c r="U32" s="8">
        <x:v>16</x:v>
      </x:c>
      <x:c r="V32" s="8">
        <x:v>18</x:v>
      </x:c>
      <x:c r="W32" s="8">
        <x:v>19</x:v>
      </x:c>
      <x:c r="X32" s="8">
        <x:v>3</x:v>
      </x:c>
      <x:c r="Y32" s="8">
        <x:v>18</x:v>
      </x:c>
      <x:c r="Z32" s="8">
        <x:v>19</x:v>
      </x:c>
      <x:c r="AA32" s="8">
        <x:v>20</x:v>
      </x:c>
      <x:c r="AB32" s="8">
        <x:v>19</x:v>
      </x:c>
      <x:c r="AC32" s="8">
        <x:v>18</x:v>
      </x:c>
      <x:c r="AD32" s="8">
        <x:v>18</x:v>
      </x:c>
      <x:c r="AE32" s="8"/>
      <x:c r="AF32" s="58">
        <x:v>18</x:v>
      </x:c>
      <x:c r="AG32" s="58">
        <x:v>16</x:v>
      </x:c>
      <x:c r="AH32" s="9">
        <x:f>SUM(C32:AG32)</x:f>
      </x:c>
      <x:c r="AI32" s="8"/>
      <x:c r="AN32" s="81"/>
      <x:c r="AO32" s="81"/>
      <x:c r="AP32" s="81"/>
      <x:c r="AQ32" s="81"/>
      <x:c r="AR32" s="81"/>
      <x:c r="AS32" s="81"/>
      <x:c r="AT32" s="81"/>
      <x:c r="AU32" s="81"/>
      <x:c r="AV32" s="81"/>
    </x:row>
    <x:row r="33" spans="1:49" x14ac:dyDescent="0.25">
      <x:c r="A33" s="21"/>
      <x:c r="B33" s="148" t="s">
        <x:v>53</x:v>
      </x:c>
      <x:c r="C33" s="8">
        <x:v>420</x:v>
      </x:c>
      <x:c r="D33" s="8">
        <x:v>440</x:v>
      </x:c>
      <x:c r="E33" s="8">
        <x:v>470</x:v>
      </x:c>
      <x:c r="F33" s="8">
        <x:v>480</x:v>
      </x:c>
      <x:c r="G33" s="8">
        <x:v>480</x:v>
      </x:c>
      <x:c r="H33" s="8">
        <x:v>500</x:v>
      </x:c>
      <x:c r="I33" s="49">
        <x:v>490</x:v>
      </x:c>
      <x:c r="J33" s="49">
        <x:v>490</x:v>
      </x:c>
      <x:c r="K33" s="49">
        <x:v>470</x:v>
      </x:c>
      <x:c r="L33" s="8">
        <x:v>490</x:v>
      </x:c>
      <x:c r="M33" s="8">
        <x:v>510</x:v>
      </x:c>
      <x:c r="N33" s="8">
        <x:v>500</x:v>
      </x:c>
      <x:c r="O33" s="8">
        <x:v>485</x:v>
      </x:c>
      <x:c r="P33" s="8">
        <x:v>475</x:v>
      </x:c>
      <x:c r="Q33" s="8">
        <x:v>330</x:v>
      </x:c>
      <x:c r="R33" s="8">
        <x:v>450</x:v>
      </x:c>
      <x:c r="S33" s="8">
        <x:v>460</x:v>
      </x:c>
      <x:c r="T33" s="8">
        <x:v>460</x:v>
      </x:c>
      <x:c r="U33" s="8">
        <x:v>470</x:v>
      </x:c>
      <x:c r="V33" s="8">
        <x:v>460</x:v>
      </x:c>
      <x:c r="W33" s="8">
        <x:v>460</x:v>
      </x:c>
      <x:c r="X33" s="8">
        <x:v>230</x:v>
      </x:c>
      <x:c r="Y33" s="8">
        <x:v>440</x:v>
      </x:c>
      <x:c r="Z33" s="8">
        <x:v>420</x:v>
      </x:c>
      <x:c r="AA33" s="8">
        <x:v>430</x:v>
      </x:c>
      <x:c r="AB33" s="8">
        <x:v>450</x:v>
      </x:c>
      <x:c r="AC33" s="8">
        <x:v>460</x:v>
      </x:c>
      <x:c r="AD33" s="8">
        <x:v>440</x:v>
      </x:c>
      <x:c r="AE33" s="8">
        <x:v>280</x:v>
      </x:c>
      <x:c r="AF33" s="58">
        <x:v>410</x:v>
      </x:c>
      <x:c r="AG33" s="58">
        <x:v>450</x:v>
      </x:c>
      <x:c r="AH33" s="9">
        <x:f>SUM(C33:AG33)</x:f>
      </x:c>
      <x:c r="AI33" s="8"/>
      <x:c r="AL33" s="33"/>
      <x:c r="AM33" s="33"/>
    </x:row>
    <x:row r="34" spans="1:49" x14ac:dyDescent="0.25">
      <x:c r="A34" s="21"/>
      <x:c r="B34" s="148" t="s">
        <x:v>54</x:v>
      </x:c>
      <x:c r="C34" s="8"/>
      <x:c r="D34" s="8"/>
      <x:c r="E34" s="8"/>
      <x:c r="F34" s="8"/>
      <x:c r="G34" s="8"/>
      <x:c r="H34" s="8"/>
      <x:c r="I34" s="49"/>
      <x:c r="J34" s="49"/>
      <x:c r="K34" s="49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  <x:c r="AA34" s="8"/>
      <x:c r="AB34" s="8"/>
      <x:c r="AC34" s="8"/>
      <x:c r="AD34" s="8"/>
      <x:c r="AE34" s="8"/>
      <x:c r="AF34" s="58"/>
      <x:c r="AG34" s="58"/>
      <x:c r="AH34" s="9">
        <x:f>SUM(C34:AG34)</x:f>
      </x:c>
      <x:c r="AI34" s="8"/>
    </x:row>
    <x:row r="35" spans="1:49" x14ac:dyDescent="0.25">
      <x:c r="A35" s="21"/>
      <x:c r="B35" s="148" t="s">
        <x:v>55</x:v>
      </x:c>
      <x:c r="C35" s="49">
        <x:v>50</x:v>
      </x:c>
      <x:c r="D35" s="49">
        <x:v>45</x:v>
      </x:c>
      <x:c r="E35" s="49">
        <x:v>50</x:v>
      </x:c>
      <x:c r="F35" s="49">
        <x:v>50</x:v>
      </x:c>
      <x:c r="G35" s="49">
        <x:v>50</x:v>
      </x:c>
      <x:c r="H35" s="49">
        <x:v>55</x:v>
      </x:c>
      <x:c r="I35" s="49">
        <x:v>55</x:v>
      </x:c>
      <x:c r="J35" s="49">
        <x:v>55</x:v>
      </x:c>
      <x:c r="K35" s="49">
        <x:v>55</x:v>
      </x:c>
      <x:c r="L35" s="25">
        <x:v>55</x:v>
      </x:c>
      <x:c r="M35" s="25">
        <x:v>55</x:v>
      </x:c>
      <x:c r="N35" s="25">
        <x:v>55</x:v>
      </x:c>
      <x:c r="O35" s="8">
        <x:v>55</x:v>
      </x:c>
      <x:c r="P35" s="8">
        <x:v>50</x:v>
      </x:c>
      <x:c r="Q35" s="8">
        <x:v>55</x:v>
      </x:c>
      <x:c r="R35" s="8">
        <x:v>50</x:v>
      </x:c>
      <x:c r="S35" s="8">
        <x:v>50</x:v>
      </x:c>
      <x:c r="T35" s="25">
        <x:v>55</x:v>
      </x:c>
      <x:c r="U35" s="25">
        <x:v>50</x:v>
      </x:c>
      <x:c r="V35" s="25">
        <x:v>55</x:v>
      </x:c>
      <x:c r="W35" s="25">
        <x:v>55</x:v>
      </x:c>
      <x:c r="X35" s="25">
        <x:v>55</x:v>
      </x:c>
      <x:c r="Y35" s="25">
        <x:v>55</x:v>
      </x:c>
      <x:c r="Z35" s="25">
        <x:v>55</x:v>
      </x:c>
      <x:c r="AA35" s="25">
        <x:v>55</x:v>
      </x:c>
      <x:c r="AB35" s="25">
        <x:v>55</x:v>
      </x:c>
      <x:c r="AC35" s="25">
        <x:v>55</x:v>
      </x:c>
      <x:c r="AD35" s="25">
        <x:v>45</x:v>
      </x:c>
      <x:c r="AE35" s="25"/>
      <x:c r="AF35" s="58">
        <x:v>50</x:v>
      </x:c>
      <x:c r="AG35" s="58">
        <x:v>50</x:v>
      </x:c>
      <x:c r="AH35" s="9">
        <x:f>SUM(C35:AG35)</x:f>
      </x:c>
      <x:c r="AI35" s="8"/>
    </x:row>
    <x:row r="36" spans="1:49" x14ac:dyDescent="0.25">
      <x:c r="A36" s="21"/>
      <x:c r="B36" s="148" t="s">
        <x:v>56</x:v>
      </x:c>
      <x:c r="C36" s="49">
        <x:v>21</x:v>
      </x:c>
      <x:c r="D36" s="49">
        <x:v>11</x:v>
      </x:c>
      <x:c r="E36" s="49">
        <x:v>28</x:v>
      </x:c>
      <x:c r="F36" s="49">
        <x:v>19</x:v>
      </x:c>
      <x:c r="G36" s="49">
        <x:v>25</x:v>
      </x:c>
      <x:c r="H36" s="49">
        <x:v>25</x:v>
      </x:c>
      <x:c r="I36" s="49">
        <x:v>28</x:v>
      </x:c>
      <x:c r="J36" s="49">
        <x:v>10</x:v>
      </x:c>
      <x:c r="K36" s="49">
        <x:v>25</x:v>
      </x:c>
      <x:c r="L36" s="25">
        <x:v>27</x:v>
      </x:c>
      <x:c r="M36" s="25">
        <x:v>20</x:v>
      </x:c>
      <x:c r="N36" s="25">
        <x:v>20</x:v>
      </x:c>
      <x:c r="O36" s="8">
        <x:v>20</x:v>
      </x:c>
      <x:c r="P36" s="8">
        <x:v>28</x:v>
      </x:c>
      <x:c r="Q36" s="8">
        <x:v>15</x:v>
      </x:c>
      <x:c r="R36" s="8">
        <x:v>20</x:v>
      </x:c>
      <x:c r="S36" s="8">
        <x:v>25</x:v>
      </x:c>
      <x:c r="T36" s="25">
        <x:v>25</x:v>
      </x:c>
      <x:c r="U36" s="25">
        <x:v>25</x:v>
      </x:c>
      <x:c r="V36" s="25">
        <x:v>25</x:v>
      </x:c>
      <x:c r="W36" s="25">
        <x:v>28</x:v>
      </x:c>
      <x:c r="X36" s="25">
        <x:v>10</x:v>
      </x:c>
      <x:c r="Y36" s="25">
        <x:v>25</x:v>
      </x:c>
      <x:c r="Z36" s="25">
        <x:v>25</x:v>
      </x:c>
      <x:c r="AA36" s="25">
        <x:v>25</x:v>
      </x:c>
      <x:c r="AB36" s="25">
        <x:v>25</x:v>
      </x:c>
      <x:c r="AC36" s="25">
        <x:v>25</x:v>
      </x:c>
      <x:c r="AD36" s="25">
        <x:v>25</x:v>
      </x:c>
      <x:c r="AE36" s="25">
        <x:v>25</x:v>
      </x:c>
      <x:c r="AF36" s="65">
        <x:v>25</x:v>
      </x:c>
      <x:c r="AG36" s="65">
        <x:v>25</x:v>
      </x:c>
      <x:c r="AH36" s="9">
        <x:f>SUM(C36:AG36)</x:f>
      </x:c>
      <x:c r="AI36" s="8"/>
    </x:row>
    <x:row r="37" spans="1:49" x14ac:dyDescent="0.25">
      <x:c r="A37" s="21"/>
      <x:c r="B37" s="148" t="s">
        <x:v>57</x:v>
      </x:c>
      <x:c r="C37" s="49">
        <x:v>20</x:v>
      </x:c>
      <x:c r="D37" s="49">
        <x:v>20</x:v>
      </x:c>
      <x:c r="E37" s="49">
        <x:v>20</x:v>
      </x:c>
      <x:c r="F37" s="49">
        <x:v>20</x:v>
      </x:c>
      <x:c r="G37" s="49">
        <x:v>20</x:v>
      </x:c>
      <x:c r="H37" s="49">
        <x:v>18</x:v>
      </x:c>
      <x:c r="I37" s="49">
        <x:v>20</x:v>
      </x:c>
      <x:c r="J37" s="49">
        <x:v>20</x:v>
      </x:c>
      <x:c r="K37" s="49">
        <x:v>20</x:v>
      </x:c>
      <x:c r="L37" s="25">
        <x:v>20</x:v>
      </x:c>
      <x:c r="M37" s="25">
        <x:v>20</x:v>
      </x:c>
      <x:c r="N37" s="25">
        <x:v>20</x:v>
      </x:c>
      <x:c r="O37" s="25">
        <x:v>20</x:v>
      </x:c>
      <x:c r="P37" s="8">
        <x:v>22</x:v>
      </x:c>
      <x:c r="Q37" s="8">
        <x:v>22</x:v>
      </x:c>
      <x:c r="R37" s="8">
        <x:v>18</x:v>
      </x:c>
      <x:c r="S37" s="8">
        <x:v>20</x:v>
      </x:c>
      <x:c r="T37" s="25">
        <x:v>20</x:v>
      </x:c>
      <x:c r="U37" s="25">
        <x:v>18</x:v>
      </x:c>
      <x:c r="V37" s="25">
        <x:v>20</x:v>
      </x:c>
      <x:c r="W37" s="25">
        <x:v>20</x:v>
      </x:c>
      <x:c r="X37" s="25">
        <x:v>19</x:v>
      </x:c>
      <x:c r="Y37" s="25">
        <x:v>18</x:v>
      </x:c>
      <x:c r="Z37" s="25">
        <x:v>18</x:v>
      </x:c>
      <x:c r="AA37" s="25">
        <x:v>18</x:v>
      </x:c>
      <x:c r="AB37" s="25">
        <x:v>18</x:v>
      </x:c>
      <x:c r="AC37" s="25">
        <x:v>20</x:v>
      </x:c>
      <x:c r="AD37" s="25">
        <x:v>18</x:v>
      </x:c>
      <x:c r="AE37" s="25"/>
      <x:c r="AF37" s="65">
        <x:v>20</x:v>
      </x:c>
      <x:c r="AG37" s="65">
        <x:v>20</x:v>
      </x:c>
      <x:c r="AH37" s="9">
        <x:f>SUM(C37:AG37)</x:f>
      </x:c>
      <x:c r="AI37" s="8"/>
    </x:row>
    <x:row r="38" spans="1:49" x14ac:dyDescent="0.25">
      <x:c r="A38" s="21"/>
      <x:c r="B38" s="148" t="s">
        <x:v>58</x:v>
      </x:c>
      <x:c r="C38" s="49"/>
      <x:c r="D38" s="49"/>
      <x:c r="E38" s="8"/>
      <x:c r="F38" s="8"/>
      <x:c r="G38" s="8"/>
      <x:c r="H38" s="8"/>
      <x:c r="I38" s="49"/>
      <x:c r="J38" s="49"/>
      <x:c r="K38" s="49"/>
      <x:c r="L38" s="25"/>
      <x:c r="M38" s="25"/>
      <x:c r="N38" s="25"/>
      <x:c r="O38" s="25"/>
      <x:c r="P38" s="8"/>
      <x:c r="Q38" s="8"/>
      <x:c r="R38" s="8"/>
      <x:c r="S38" s="8"/>
      <x:c r="T38" s="25"/>
      <x:c r="U38" s="25"/>
      <x:c r="V38" s="25"/>
      <x:c r="W38" s="25"/>
      <x:c r="X38" s="25"/>
      <x:c r="Y38" s="25"/>
      <x:c r="Z38" s="25"/>
      <x:c r="AA38" s="25"/>
      <x:c r="AB38" s="25"/>
      <x:c r="AC38" s="25"/>
      <x:c r="AD38" s="25"/>
      <x:c r="AE38" s="25"/>
      <x:c r="AF38" s="8"/>
      <x:c r="AG38" s="58"/>
      <x:c r="AH38" s="9">
        <x:f>SUM(C38:AG38)</x:f>
      </x:c>
      <x:c r="AI38" s="8"/>
    </x:row>
    <x:row r="39" spans="1:49" ht="19.5" customHeight="1" x14ac:dyDescent="0.3">
      <x:c r="A39" s="21"/>
      <x:c r="B39" s="148" t="s">
        <x:v>59</x:v>
      </x:c>
      <x:c r="C39" s="49"/>
      <x:c r="D39" s="49">
        <x:v>6</x:v>
      </x:c>
      <x:c r="E39" s="49">
        <x:v>6</x:v>
      </x:c>
      <x:c r="F39" s="49">
        <x:v>6</x:v>
      </x:c>
      <x:c r="G39" s="49">
        <x:v>6</x:v>
      </x:c>
      <x:c r="H39" s="49">
        <x:v>6</x:v>
      </x:c>
      <x:c r="I39" s="49"/>
      <x:c r="J39" s="49"/>
      <x:c r="K39" s="49">
        <x:v>6</x:v>
      </x:c>
      <x:c r="L39" s="25">
        <x:v>6</x:v>
      </x:c>
      <x:c r="M39" s="25">
        <x:v>6</x:v>
      </x:c>
      <x:c r="N39" s="25">
        <x:v>6</x:v>
      </x:c>
      <x:c r="O39" s="25">
        <x:v>6</x:v>
      </x:c>
      <x:c r="P39" s="8">
        <x:v>5</x:v>
      </x:c>
      <x:c r="Q39" s="8">
        <x:v>2</x:v>
      </x:c>
      <x:c r="R39" s="8">
        <x:v>6</x:v>
      </x:c>
      <x:c r="S39" s="8">
        <x:v>6</x:v>
      </x:c>
      <x:c r="T39" s="25">
        <x:v>6</x:v>
      </x:c>
      <x:c r="U39" s="25">
        <x:v>6</x:v>
      </x:c>
      <x:c r="V39" s="25">
        <x:v>6</x:v>
      </x:c>
      <x:c r="W39" s="25"/>
      <x:c r="X39" s="25"/>
      <x:c r="Y39" s="25">
        <x:v>6</x:v>
      </x:c>
      <x:c r="Z39" s="25">
        <x:v>6</x:v>
      </x:c>
      <x:c r="AA39" s="25">
        <x:v>6</x:v>
      </x:c>
      <x:c r="AB39" s="25">
        <x:v>6</x:v>
      </x:c>
      <x:c r="AC39" s="25">
        <x:v>6</x:v>
      </x:c>
      <x:c r="AD39" s="25">
        <x:v>4</x:v>
      </x:c>
      <x:c r="AE39" s="25"/>
      <x:c r="AF39" s="8">
        <x:v>6</x:v>
      </x:c>
      <x:c r="AG39" s="58">
        <x:v>6</x:v>
      </x:c>
      <x:c r="AH39" s="9">
        <x:f>SUM(C39:AG39)</x:f>
      </x:c>
      <x:c r="AI39" s="8"/>
      <x:c r="AJ39" s="26"/>
      <x:c r="AK39" s="26" t="s">
        <x:v>64</x:v>
      </x:c>
    </x:row>
    <x:row r="40" spans="1:49" ht="19.5" customHeight="1" x14ac:dyDescent="0.3">
      <x:c r="A40" s="21"/>
      <x:c r="B40" s="148" t="s">
        <x:v>65</x:v>
      </x:c>
      <x:c r="C40" s="49"/>
      <x:c r="D40" s="49">
        <x:v>7</x:v>
      </x:c>
      <x:c r="E40" s="49">
        <x:v>7</x:v>
      </x:c>
      <x:c r="F40" s="49">
        <x:v>7</x:v>
      </x:c>
      <x:c r="G40" s="49">
        <x:v>7</x:v>
      </x:c>
      <x:c r="H40" s="49">
        <x:v>7</x:v>
      </x:c>
      <x:c r="I40" s="49">
        <x:v>6</x:v>
      </x:c>
      <x:c r="J40" s="49"/>
      <x:c r="K40" s="49">
        <x:v>7</x:v>
      </x:c>
      <x:c r="L40" s="25">
        <x:v>7</x:v>
      </x:c>
      <x:c r="M40" s="25">
        <x:v>7</x:v>
      </x:c>
      <x:c r="N40" s="25">
        <x:v>7</x:v>
      </x:c>
      <x:c r="O40" s="25">
        <x:v>7</x:v>
      </x:c>
      <x:c r="P40" s="8">
        <x:v>6</x:v>
      </x:c>
      <x:c r="Q40" s="8">
        <x:v>5</x:v>
      </x:c>
      <x:c r="R40" s="8">
        <x:v>7</x:v>
      </x:c>
      <x:c r="S40" s="8">
        <x:v>7</x:v>
      </x:c>
      <x:c r="T40" s="25">
        <x:v>7</x:v>
      </x:c>
      <x:c r="U40" s="25">
        <x:v>7</x:v>
      </x:c>
      <x:c r="V40" s="25">
        <x:v>7</x:v>
      </x:c>
      <x:c r="W40" s="25"/>
      <x:c r="X40" s="25"/>
      <x:c r="Y40" s="25">
        <x:v>7</x:v>
      </x:c>
      <x:c r="Z40" s="25">
        <x:v>7</x:v>
      </x:c>
      <x:c r="AA40" s="25">
        <x:v>7</x:v>
      </x:c>
      <x:c r="AB40" s="25">
        <x:v>7</x:v>
      </x:c>
      <x:c r="AC40" s="25">
        <x:v>7</x:v>
      </x:c>
      <x:c r="AD40" s="25">
        <x:v>7</x:v>
      </x:c>
      <x:c r="AE40" s="25"/>
      <x:c r="AF40" s="25">
        <x:v>7</x:v>
      </x:c>
      <x:c r="AG40" s="25">
        <x:v>7</x:v>
      </x:c>
      <x:c r="AH40" s="9">
        <x:f>SUM(C40:AG40)</x:f>
      </x:c>
      <x:c r="AI40" s="8"/>
      <x:c r="AJ40" s="26"/>
      <x:c r="AK40" s="26"/>
      <x:c r="AL40" s="26"/>
      <x:c r="AM40" s="26"/>
    </x:row>
    <x:row r="41" spans="1:49" ht="20.25" customHeight="1" x14ac:dyDescent="0.35">
      <x:c r="A41" s="105"/>
      <x:c r="B41" s="149" t="s">
        <x:v>34</x:v>
      </x:c>
      <x:c r="C41" s="150">
        <x:f>SUM(C23:C40)</x:f>
      </x:c>
      <x:c r="D41" s="150">
        <x:f>SUM(D23:D40)</x:f>
      </x:c>
      <x:c r="E41" s="150">
        <x:f>SUM(E23:E40)</x:f>
      </x:c>
      <x:c r="F41" s="150">
        <x:f>SUM(F23:F40)</x:f>
      </x:c>
      <x:c r="G41" s="150">
        <x:f>SUM(G23:G40)</x:f>
      </x:c>
      <x:c r="H41" s="150">
        <x:f>SUM(H23:H40)</x:f>
      </x:c>
      <x:c r="I41" s="150">
        <x:f>SUM(I23:I40)</x:f>
      </x:c>
      <x:c r="J41" s="150">
        <x:f>SUM(J23:J40)</x:f>
      </x:c>
      <x:c r="K41" s="150">
        <x:f>SUM(K23:K40)</x:f>
      </x:c>
      <x:c r="L41" s="150">
        <x:f>SUM(L23:L40)</x:f>
      </x:c>
      <x:c r="M41" s="150">
        <x:f>SUM(M23:M40)</x:f>
      </x:c>
      <x:c r="N41" s="150">
        <x:f>SUM(N23:N40)</x:f>
      </x:c>
      <x:c r="O41" s="150">
        <x:f>SUM(O23:O40)</x:f>
      </x:c>
      <x:c r="P41" s="150">
        <x:f>SUM(P23:P40)</x:f>
      </x:c>
      <x:c r="Q41" s="150">
        <x:f>SUM(Q23:Q40)</x:f>
      </x:c>
      <x:c r="R41" s="150">
        <x:f>SUM(R23:R40)</x:f>
      </x:c>
      <x:c r="S41" s="150">
        <x:f>SUM(S23:S40)</x:f>
      </x:c>
      <x:c r="T41" s="150">
        <x:f>SUM(T23:T40)</x:f>
      </x:c>
      <x:c r="U41" s="150">
        <x:f>SUM(U23:U40)</x:f>
      </x:c>
      <x:c r="V41" s="150">
        <x:f>SUM(V23:V40)</x:f>
      </x:c>
      <x:c r="W41" s="150">
        <x:f>SUM(W23:W40)</x:f>
      </x:c>
      <x:c r="X41" s="150">
        <x:f>SUM(X23:X40)</x:f>
      </x:c>
      <x:c r="Y41" s="150">
        <x:f>SUM(Y23:Y40)</x:f>
      </x:c>
      <x:c r="Z41" s="150">
        <x:f>SUM(Z23:Z40)</x:f>
      </x:c>
      <x:c r="AA41" s="150">
        <x:f>SUM(AA23:AA40)</x:f>
      </x:c>
      <x:c r="AB41" s="150">
        <x:f>SUM(AB23:AB40)</x:f>
      </x:c>
      <x:c r="AC41" s="150">
        <x:f>SUM(AC23:AC40)</x:f>
      </x:c>
      <x:c r="AD41" s="150">
        <x:f>SUM(AD23:AD40)</x:f>
      </x:c>
      <x:c r="AE41" s="150">
        <x:f>SUM(AE23:AE40)</x:f>
      </x:c>
      <x:c r="AF41" s="150">
        <x:f>SUM(AF23:AF40)</x:f>
      </x:c>
      <x:c r="AG41" s="150">
        <x:f>SUM(AG23:AG40)</x:f>
      </x:c>
      <x:c r="AH41" s="151">
        <x:f>SUM(AH23:AH40)</x:f>
      </x:c>
      <x:c r="AI41" s="150">
        <x:f>SUM(AI23:AI40)</x:f>
      </x:c>
      <x:c r="AJ41" s="26"/>
      <x:c r="AK41" s="26"/>
    </x:row>
    <x:row r="42" spans="1:49" ht="19.5" customHeight="1" x14ac:dyDescent="0.3">
      <x:c r="AJ42" s="26"/>
      <x:c r="AK42" s="26"/>
    </x:row>
    <x:row r="43" spans="1:49" ht="19.5" customHeight="1" x14ac:dyDescent="0.3">
      <x:c r="AJ43" s="26"/>
      <x:c r="AK43" s="26"/>
    </x:row>
    <x:row r="44" spans="1:49" ht="19.5" customHeight="1" x14ac:dyDescent="0.3">
      <x:c r="AJ44" s="26"/>
      <x:c r="AK44" s="26"/>
    </x:row>
    <x:row r="51" spans="1:49" x14ac:dyDescent="0.25">
      <x:c r="AI51" s="3"/>
    </x:row>
    <x:row r="52" spans="1:49" x14ac:dyDescent="0.25">
      <x:c r="AI52" s="3"/>
    </x:row>
    <x:row r="53" spans="1:49" x14ac:dyDescent="0.25">
      <x:c r="AI53" s="3"/>
    </x:row>
    <x:row r="54" spans="1:49" x14ac:dyDescent="0.25">
      <x:c r="AI54" s="3"/>
      <x:c r="AJ54" s="3"/>
    </x:row>
    <x:row r="55" spans="1:49" x14ac:dyDescent="0.25">
      <x:c r="AJ55" s="3"/>
    </x:row>
    <x:row r="56" spans="1:49" x14ac:dyDescent="0.25">
      <x:c r="AJ56" s="33"/>
    </x:row>
  </x:sheetData>
  <x:mergeCells count="4">
    <x:mergeCell ref="A1:AI1"/>
    <x:mergeCell ref="A2:A22"/>
    <x:mergeCell ref="AN7:AQ7"/>
    <x:mergeCell ref="A25:A41"/>
  </x:mergeCells>
  <x:phoneticPr fontId="18" type="noConversion"/>
  <x:printOptions horizontalCentered="0" verticalCentered="0" headings="0" gridLines="0"/>
  <x:pageMargins left="0.27" right="0.41" top="0.31" bottom="0.29" header="0.3" footer="0.3"/>
  <x:pageSetup paperSize="9" scale="74" pageOrder="downThenOver" orientation="landscape" blackAndWhite="0" draft="0" cellComments="none" errors="displayed" r:id="rId1"/>
  <x:headerFooter/>
  <x:rowBreaks count="1" manualBreakCount="1">
    <x:brk id="41" max="16383" man="1"/>
  </x:rowBreaks>
  <x:colBreaks count="1" manualBreakCount="1">
    <x:brk id="35" max="1048575" man="1"/>
  </x:colBreaks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>
    <x:tabColor theme="2" tint="-0.249977111117893"/>
    <x:outlinePr summaryBelow="1" summaryRight="1"/>
  </x:sheetPr>
  <x:dimension ref="A1:AQ65"/>
  <x:sheetViews>
    <x:sheetView zoomScale="85" zoomScaleSheetLayoutView="85" workbookViewId="0">
      <x:pane xSplit="1" ySplit="2" topLeftCell="B3" activePane="bottomRight" state="frozenSplit"/>
      <x:selection activeCell="B1" sqref="B1"/>
      <x:selection pane="bottomRight" activeCell="B1" sqref="B1"/>
    </x:sheetView>
  </x:sheetViews>
  <x:sheetFormatPr defaultColWidth="4.996339" defaultRowHeight="15" x14ac:dyDescent="0.25"/>
  <x:cols>
    <x:col min="1" max="1" width="4.996339" style="0" customWidth="1"/>
    <x:col min="2" max="2" width="6.285156" style="0" customWidth="1"/>
    <x:col min="3" max="8" width="5" style="152" customWidth="1"/>
    <x:col min="9" max="23" width="5" style="114" customWidth="1"/>
    <x:col min="24" max="24" width="5" style="0" customWidth="1"/>
    <x:col min="25" max="28" width="5" style="114" customWidth="1"/>
    <x:col min="29" max="29" width="5" style="115" customWidth="1"/>
    <x:col min="30" max="33" width="5" style="114" customWidth="1"/>
    <x:col min="34" max="34" width="6.710938" style="0" customWidth="1"/>
    <x:col min="35" max="35" width="6.570312" style="0" customWidth="1"/>
    <x:col min="36" max="36" width="14.710938" style="114" customWidth="1"/>
    <x:col min="37" max="37" width="8.710938" style="0" customWidth="1"/>
    <x:col min="38" max="38" width="7.570312" style="0" customWidth="1"/>
    <x:col min="39" max="39" width="8.570312" style="2" customWidth="1"/>
    <x:col min="40" max="40" width="65.140625" style="0" bestFit="1" customWidth="1"/>
    <x:col min="41" max="41" width="4.996339" style="0" customWidth="1"/>
    <x:col min="42" max="42" width="5" style="3" customWidth="1"/>
  </x:cols>
  <x:sheetData>
    <x:row r="1" spans="1:43" ht="30.75" customHeight="1" x14ac:dyDescent="0.5">
      <x:c r="B1" s="108" t="s">
        <x:v>0</x:v>
      </x:c>
      <x:c r="C1" s="108"/>
      <x:c r="D1" s="108"/>
      <x:c r="E1" s="108"/>
      <x:c r="F1" s="108"/>
      <x:c r="G1" s="108"/>
      <x:c r="H1" s="108"/>
      <x:c r="I1" s="108"/>
      <x:c r="J1" s="108"/>
      <x:c r="K1" s="108"/>
      <x:c r="L1" s="108"/>
      <x:c r="M1" s="108"/>
      <x:c r="N1" s="108"/>
      <x:c r="O1" s="108"/>
      <x:c r="P1" s="108"/>
      <x:c r="Q1" s="108"/>
      <x:c r="R1" s="108"/>
      <x:c r="S1" s="108"/>
      <x:c r="T1" s="108"/>
      <x:c r="U1" s="108"/>
      <x:c r="V1" s="108"/>
      <x:c r="W1" s="108"/>
      <x:c r="X1" s="108"/>
      <x:c r="Y1" s="108"/>
      <x:c r="Z1" s="108"/>
      <x:c r="AA1" s="108"/>
      <x:c r="AB1" s="108"/>
      <x:c r="AC1" s="108"/>
      <x:c r="AD1" s="108"/>
      <x:c r="AE1" s="108"/>
      <x:c r="AF1" s="108"/>
      <x:c r="AG1" s="108"/>
      <x:c r="AH1" s="108"/>
      <x:c r="AI1" s="108"/>
    </x:row>
    <x:row r="2" spans="1:43" ht="30" customHeight="1" x14ac:dyDescent="0.25">
      <x:c r="A2" s="101" t="s">
        <x:v>67</x:v>
      </x:c>
      <x:c r="B2" s="117" t="s">
        <x:v>2</x:v>
      </x:c>
      <x:c r="C2" s="118" t="s">
        <x:v>3</x:v>
      </x:c>
      <x:c r="D2" s="118" t="s">
        <x:v>4</x:v>
      </x:c>
      <x:c r="E2" s="118" t="s">
        <x:v>5</x:v>
      </x:c>
      <x:c r="F2" s="118" t="s">
        <x:v>6</x:v>
      </x:c>
      <x:c r="G2" s="118" t="s">
        <x:v>7</x:v>
      </x:c>
      <x:c r="H2" s="118" t="s">
        <x:v>8</x:v>
      </x:c>
      <x:c r="I2" s="118" t="s">
        <x:v>9</x:v>
      </x:c>
      <x:c r="J2" s="118" t="s">
        <x:v>10</x:v>
      </x:c>
      <x:c r="K2" s="118" t="s">
        <x:v>11</x:v>
      </x:c>
      <x:c r="L2" s="118" t="s">
        <x:v>12</x:v>
      </x:c>
      <x:c r="M2" s="153" t="s">
        <x:v>13</x:v>
      </x:c>
      <x:c r="N2" s="118" t="s">
        <x:v>14</x:v>
      </x:c>
      <x:c r="O2" s="118" t="s">
        <x:v>15</x:v>
      </x:c>
      <x:c r="P2" s="118" t="s">
        <x:v>16</x:v>
      </x:c>
      <x:c r="Q2" s="118" t="s">
        <x:v>17</x:v>
      </x:c>
      <x:c r="R2" s="154" t="s">
        <x:v>18</x:v>
      </x:c>
      <x:c r="S2" s="118" t="s">
        <x:v>19</x:v>
      </x:c>
      <x:c r="T2" s="153" t="s">
        <x:v>20</x:v>
      </x:c>
      <x:c r="U2" s="118" t="s">
        <x:v>21</x:v>
      </x:c>
      <x:c r="V2" s="118" t="s">
        <x:v>22</x:v>
      </x:c>
      <x:c r="W2" s="118" t="s">
        <x:v>23</x:v>
      </x:c>
      <x:c r="X2" s="118" t="s">
        <x:v>24</x:v>
      </x:c>
      <x:c r="Y2" s="118" t="s">
        <x:v>25</x:v>
      </x:c>
      <x:c r="Z2" s="118" t="s">
        <x:v>26</x:v>
      </x:c>
      <x:c r="AA2" s="153" t="s">
        <x:v>27</x:v>
      </x:c>
      <x:c r="AB2" s="118" t="s">
        <x:v>28</x:v>
      </x:c>
      <x:c r="AC2" s="118" t="s">
        <x:v>29</x:v>
      </x:c>
      <x:c r="AD2" s="118" t="s">
        <x:v>30</x:v>
      </x:c>
      <x:c r="AE2" s="118" t="s">
        <x:v>31</x:v>
      </x:c>
      <x:c r="AF2" s="118" t="s">
        <x:v>32</x:v>
      </x:c>
      <x:c r="AG2" s="118" t="s">
        <x:v>33</x:v>
      </x:c>
      <x:c r="AH2" s="122" t="s">
        <x:v>34</x:v>
      </x:c>
      <x:c r="AI2" s="123" t="s">
        <x:v>35</x:v>
      </x:c>
      <x:c r="AM2" s="3"/>
    </x:row>
    <x:row r="3" spans="1:43" s="114" customFormat="1" x14ac:dyDescent="0.25">
      <x:c r="A3" s="102"/>
      <x:c r="B3" s="125" t="s">
        <x:v>36</x:v>
      </x:c>
      <x:c r="C3" s="8">
        <x:v>1</x:v>
      </x:c>
      <x:c r="D3" s="8">
        <x:v>1</x:v>
      </x:c>
      <x:c r="E3" s="8">
        <x:v>1</x:v>
      </x:c>
      <x:c r="F3" s="58">
        <x:v>1</x:v>
      </x:c>
      <x:c r="G3" s="58">
        <x:v>1</x:v>
      </x:c>
      <x:c r="H3" s="8">
        <x:v>1</x:v>
      </x:c>
      <x:c r="I3" s="8">
        <x:v>1</x:v>
      </x:c>
      <x:c r="J3" s="8">
        <x:v>1</x:v>
      </x:c>
      <x:c r="K3" s="8">
        <x:v>1</x:v>
      </x:c>
      <x:c r="L3" s="8">
        <x:v>1</x:v>
      </x:c>
      <x:c r="M3" s="126">
        <x:v>1</x:v>
      </x:c>
      <x:c r="N3" s="8">
        <x:v>1</x:v>
      </x:c>
      <x:c r="O3" s="8">
        <x:v>1</x:v>
      </x:c>
      <x:c r="P3" s="8">
        <x:v>1</x:v>
      </x:c>
      <x:c r="Q3" s="8">
        <x:v>1</x:v>
      </x:c>
      <x:c r="R3" s="58">
        <x:v>1</x:v>
      </x:c>
      <x:c r="S3" s="8">
        <x:v>1</x:v>
      </x:c>
      <x:c r="T3" s="126">
        <x:v>1</x:v>
      </x:c>
      <x:c r="U3" s="8">
        <x:v>1</x:v>
      </x:c>
      <x:c r="V3" s="8">
        <x:v>3</x:v>
      </x:c>
      <x:c r="W3" s="8">
        <x:v>2</x:v>
      </x:c>
      <x:c r="X3" s="8"/>
      <x:c r="Y3" s="8">
        <x:v>1</x:v>
      </x:c>
      <x:c r="Z3" s="8">
        <x:v>1</x:v>
      </x:c>
      <x:c r="AA3" s="126">
        <x:v>1</x:v>
      </x:c>
      <x:c r="AB3" s="8">
        <x:v>1</x:v>
      </x:c>
      <x:c r="AC3" s="8">
        <x:v>1</x:v>
      </x:c>
      <x:c r="AD3" s="8">
        <x:v>1</x:v>
      </x:c>
      <x:c r="AE3" s="8"/>
      <x:c r="AF3" s="8">
        <x:v>1</x:v>
      </x:c>
      <x:c r="AG3" s="8">
        <x:v>1</x:v>
      </x:c>
      <x:c r="AH3" s="9">
        <x:f>SUM(C3:AG3)</x:f>
      </x:c>
      <x:c r="AI3" s="8"/>
      <x:c r="AK3" s="0"/>
      <x:c r="AM3" s="155"/>
    </x:row>
    <x:row r="4" spans="1:43" x14ac:dyDescent="0.25">
      <x:c r="A4" s="102"/>
      <x:c r="B4" s="125" t="s">
        <x:v>37</x:v>
      </x:c>
      <x:c r="C4" s="8"/>
      <x:c r="D4" s="8"/>
      <x:c r="E4" s="8"/>
      <x:c r="F4" s="58"/>
      <x:c r="G4" s="58"/>
      <x:c r="H4" s="8"/>
      <x:c r="I4" s="8"/>
      <x:c r="J4" s="8"/>
      <x:c r="K4" s="8"/>
      <x:c r="L4" s="8"/>
      <x:c r="M4" s="126"/>
      <x:c r="N4" s="8"/>
      <x:c r="O4" s="8"/>
      <x:c r="P4" s="8"/>
      <x:c r="Q4" s="8"/>
      <x:c r="R4" s="58"/>
      <x:c r="S4" s="8"/>
      <x:c r="T4" s="126"/>
      <x:c r="U4" s="8"/>
      <x:c r="V4" s="8"/>
      <x:c r="W4" s="8"/>
      <x:c r="X4" s="8"/>
      <x:c r="Y4" s="8"/>
      <x:c r="Z4" s="8"/>
      <x:c r="AA4" s="126"/>
      <x:c r="AB4" s="8"/>
      <x:c r="AC4" s="8"/>
      <x:c r="AD4" s="8"/>
      <x:c r="AE4" s="8"/>
      <x:c r="AF4" s="8"/>
      <x:c r="AG4" s="8"/>
      <x:c r="AH4" s="9">
        <x:f>SUM(C4:AG4)</x:f>
      </x:c>
      <x:c r="AI4" s="8"/>
    </x:row>
    <x:row r="5" spans="1:43" x14ac:dyDescent="0.25">
      <x:c r="A5" s="102"/>
      <x:c r="B5" s="125" t="s">
        <x:v>44</x:v>
      </x:c>
      <x:c r="C5" s="8"/>
      <x:c r="D5" s="8"/>
      <x:c r="E5" s="8"/>
      <x:c r="F5" s="58"/>
      <x:c r="G5" s="58"/>
      <x:c r="H5" s="8"/>
      <x:c r="I5" s="8"/>
      <x:c r="J5" s="8"/>
      <x:c r="K5" s="8"/>
      <x:c r="L5" s="8"/>
      <x:c r="M5" s="126"/>
      <x:c r="N5" s="8"/>
      <x:c r="O5" s="8"/>
      <x:c r="P5" s="8"/>
      <x:c r="Q5" s="8"/>
      <x:c r="R5" s="58"/>
      <x:c r="S5" s="8"/>
      <x:c r="T5" s="126"/>
      <x:c r="U5" s="8"/>
      <x:c r="V5" s="8"/>
      <x:c r="W5" s="8"/>
      <x:c r="X5" s="8"/>
      <x:c r="Y5" s="8"/>
      <x:c r="Z5" s="8"/>
      <x:c r="AA5" s="126"/>
      <x:c r="AB5" s="8"/>
      <x:c r="AC5" s="8"/>
      <x:c r="AD5" s="8"/>
      <x:c r="AE5" s="8"/>
      <x:c r="AF5" s="8"/>
      <x:c r="AG5" s="8"/>
      <x:c r="AH5" s="9">
        <x:f>SUM(C5:AG5)</x:f>
      </x:c>
      <x:c r="AI5" s="8"/>
      <x:c r="AM5" s="3"/>
    </x:row>
    <x:row r="6" spans="1:43" x14ac:dyDescent="0.25">
      <x:c r="A6" s="102"/>
      <x:c r="B6" s="125" t="s">
        <x:v>45</x:v>
      </x:c>
      <x:c r="C6" s="8"/>
      <x:c r="D6" s="8"/>
      <x:c r="E6" s="8"/>
      <x:c r="F6" s="58"/>
      <x:c r="G6" s="58"/>
      <x:c r="H6" s="8"/>
      <x:c r="I6" s="8"/>
      <x:c r="J6" s="8"/>
      <x:c r="K6" s="8"/>
      <x:c r="L6" s="8"/>
      <x:c r="M6" s="126"/>
      <x:c r="N6" s="8"/>
      <x:c r="O6" s="8"/>
      <x:c r="P6" s="8"/>
      <x:c r="Q6" s="8"/>
      <x:c r="R6" s="58"/>
      <x:c r="S6" s="8"/>
      <x:c r="T6" s="126"/>
      <x:c r="U6" s="8"/>
      <x:c r="V6" s="8"/>
      <x:c r="W6" s="8"/>
      <x:c r="X6" s="8"/>
      <x:c r="Y6" s="8"/>
      <x:c r="Z6" s="8"/>
      <x:c r="AA6" s="126"/>
      <x:c r="AB6" s="8"/>
      <x:c r="AC6" s="8"/>
      <x:c r="AD6" s="8"/>
      <x:c r="AE6" s="8"/>
      <x:c r="AF6" s="8"/>
      <x:c r="AG6" s="8"/>
      <x:c r="AH6" s="9">
        <x:f>SUM(C6:AG6)</x:f>
      </x:c>
      <x:c r="AI6" s="8"/>
      <x:c r="AM6" s="3"/>
    </x:row>
    <x:row r="7" spans="1:43" x14ac:dyDescent="0.25">
      <x:c r="A7" s="102"/>
      <x:c r="B7" s="125" t="s">
        <x:v>46</x:v>
      </x:c>
      <x:c r="C7" s="8">
        <x:v>1</x:v>
      </x:c>
      <x:c r="D7" s="8">
        <x:v>1</x:v>
      </x:c>
      <x:c r="E7" s="8">
        <x:v>1</x:v>
      </x:c>
      <x:c r="F7" s="58">
        <x:v>1</x:v>
      </x:c>
      <x:c r="G7" s="58">
        <x:v>1</x:v>
      </x:c>
      <x:c r="H7" s="8">
        <x:v>1</x:v>
      </x:c>
      <x:c r="I7" s="8">
        <x:v>1</x:v>
      </x:c>
      <x:c r="J7" s="8">
        <x:v>1</x:v>
      </x:c>
      <x:c r="K7" s="8">
        <x:v>1</x:v>
      </x:c>
      <x:c r="L7" s="8">
        <x:v>1</x:v>
      </x:c>
      <x:c r="M7" s="126">
        <x:v>1</x:v>
      </x:c>
      <x:c r="N7" s="8">
        <x:v>1</x:v>
      </x:c>
      <x:c r="O7" s="8">
        <x:v>1</x:v>
      </x:c>
      <x:c r="P7" s="8">
        <x:v>1</x:v>
      </x:c>
      <x:c r="Q7" s="8">
        <x:v>1</x:v>
      </x:c>
      <x:c r="R7" s="58">
        <x:v>1</x:v>
      </x:c>
      <x:c r="S7" s="8">
        <x:v>1</x:v>
      </x:c>
      <x:c r="T7" s="126">
        <x:v>1</x:v>
      </x:c>
      <x:c r="U7" s="8">
        <x:v>1</x:v>
      </x:c>
      <x:c r="V7" s="8">
        <x:v>1</x:v>
      </x:c>
      <x:c r="W7" s="8">
        <x:v>1</x:v>
      </x:c>
      <x:c r="X7" s="8"/>
      <x:c r="Y7" s="8">
        <x:v>1</x:v>
      </x:c>
      <x:c r="Z7" s="8">
        <x:v>1</x:v>
      </x:c>
      <x:c r="AA7" s="126">
        <x:v>1</x:v>
      </x:c>
      <x:c r="AB7" s="8">
        <x:v>1</x:v>
      </x:c>
      <x:c r="AC7" s="8">
        <x:v>1</x:v>
      </x:c>
      <x:c r="AD7" s="8">
        <x:v>1</x:v>
      </x:c>
      <x:c r="AE7" s="8"/>
      <x:c r="AF7" s="8">
        <x:v>1</x:v>
      </x:c>
      <x:c r="AG7" s="8">
        <x:v>1</x:v>
      </x:c>
      <x:c r="AH7" s="9">
        <x:f>SUM(C7:AG7)</x:f>
      </x:c>
      <x:c r="AI7" s="8"/>
      <x:c r="AK7" s="124"/>
      <x:c r="AL7" s="124"/>
      <x:c r="AM7" s="156"/>
      <x:c r="AN7" s="124"/>
    </x:row>
    <x:row r="8" spans="1:43" x14ac:dyDescent="0.25">
      <x:c r="A8" s="102"/>
      <x:c r="B8" s="125" t="s">
        <x:v>48</x:v>
      </x:c>
      <x:c r="C8" s="8">
        <x:v>3</x:v>
      </x:c>
      <x:c r="D8" s="8">
        <x:v>3</x:v>
      </x:c>
      <x:c r="E8" s="8">
        <x:v>4</x:v>
      </x:c>
      <x:c r="F8" s="58">
        <x:v>4</x:v>
      </x:c>
      <x:c r="G8" s="58">
        <x:v>4</x:v>
      </x:c>
      <x:c r="H8" s="8">
        <x:v>4</x:v>
      </x:c>
      <x:c r="I8" s="8">
        <x:v>4</x:v>
      </x:c>
      <x:c r="J8" s="8">
        <x:v>3</x:v>
      </x:c>
      <x:c r="K8" s="8">
        <x:v>4</x:v>
      </x:c>
      <x:c r="L8" s="8">
        <x:v>4</x:v>
      </x:c>
      <x:c r="M8" s="126">
        <x:v>4</x:v>
      </x:c>
      <x:c r="N8" s="8">
        <x:v>4</x:v>
      </x:c>
      <x:c r="O8" s="8">
        <x:v>4</x:v>
      </x:c>
      <x:c r="P8" s="8">
        <x:v>4</x:v>
      </x:c>
      <x:c r="Q8" s="8">
        <x:v>4</x:v>
      </x:c>
      <x:c r="R8" s="58">
        <x:v>4</x:v>
      </x:c>
      <x:c r="S8" s="8">
        <x:v>4</x:v>
      </x:c>
      <x:c r="T8" s="126">
        <x:v>4</x:v>
      </x:c>
      <x:c r="U8" s="8">
        <x:v>4</x:v>
      </x:c>
      <x:c r="V8" s="8">
        <x:v>4</x:v>
      </x:c>
      <x:c r="W8" s="8">
        <x:v>4</x:v>
      </x:c>
      <x:c r="X8" s="8"/>
      <x:c r="Y8" s="8">
        <x:v>4</x:v>
      </x:c>
      <x:c r="Z8" s="8">
        <x:v>4</x:v>
      </x:c>
      <x:c r="AA8" s="126">
        <x:v>4</x:v>
      </x:c>
      <x:c r="AB8" s="8">
        <x:v>4</x:v>
      </x:c>
      <x:c r="AC8" s="8">
        <x:v>4</x:v>
      </x:c>
      <x:c r="AD8" s="8">
        <x:v>3</x:v>
      </x:c>
      <x:c r="AE8" s="8"/>
      <x:c r="AF8" s="8">
        <x:v>4</x:v>
      </x:c>
      <x:c r="AG8" s="8">
        <x:v>4</x:v>
      </x:c>
      <x:c r="AH8" s="9">
        <x:f>SUM(C8:AG8)</x:f>
      </x:c>
      <x:c r="AI8" s="8"/>
      <x:c r="AL8" s="135"/>
      <x:c r="AM8" s="124"/>
      <x:c r="AN8" s="124"/>
      <x:c r="AO8" s="156"/>
      <x:c r="AP8" s="124"/>
    </x:row>
    <x:row r="9" spans="1:43" x14ac:dyDescent="0.25">
      <x:c r="A9" s="102"/>
      <x:c r="B9" s="125" t="s">
        <x:v>63</x:v>
      </x:c>
      <x:c r="C9" s="8">
        <x:v>5</x:v>
      </x:c>
      <x:c r="D9" s="8">
        <x:v>33</x:v>
      </x:c>
      <x:c r="E9" s="8">
        <x:v>33</x:v>
      </x:c>
      <x:c r="F9" s="58">
        <x:v>32</x:v>
      </x:c>
      <x:c r="G9" s="58">
        <x:v>33</x:v>
      </x:c>
      <x:c r="H9" s="8">
        <x:v>33</x:v>
      </x:c>
      <x:c r="I9" s="8">
        <x:v>34</x:v>
      </x:c>
      <x:c r="J9" s="8"/>
      <x:c r="K9" s="8">
        <x:v>34</x:v>
      </x:c>
      <x:c r="L9" s="8">
        <x:v>34</x:v>
      </x:c>
      <x:c r="M9" s="126">
        <x:v>34</x:v>
      </x:c>
      <x:c r="N9" s="8">
        <x:v>34</x:v>
      </x:c>
      <x:c r="O9" s="8">
        <x:v>34</x:v>
      </x:c>
      <x:c r="P9" s="8">
        <x:v>34</x:v>
      </x:c>
      <x:c r="Q9" s="8">
        <x:v>7</x:v>
      </x:c>
      <x:c r="R9" s="58">
        <x:v>32</x:v>
      </x:c>
      <x:c r="S9" s="8">
        <x:v>31</x:v>
      </x:c>
      <x:c r="T9" s="126">
        <x:v>32</x:v>
      </x:c>
      <x:c r="U9" s="8">
        <x:v>31</x:v>
      </x:c>
      <x:c r="V9" s="8">
        <x:v>31</x:v>
      </x:c>
      <x:c r="W9" s="8">
        <x:v>31</x:v>
      </x:c>
      <x:c r="X9" s="8"/>
      <x:c r="Y9" s="8">
        <x:v>33</x:v>
      </x:c>
      <x:c r="Z9" s="8">
        <x:v>33</x:v>
      </x:c>
      <x:c r="AA9" s="126">
        <x:v>33</x:v>
      </x:c>
      <x:c r="AB9" s="8">
        <x:v>33</x:v>
      </x:c>
      <x:c r="AC9" s="8">
        <x:v>33</x:v>
      </x:c>
      <x:c r="AD9" s="8">
        <x:v>25</x:v>
      </x:c>
      <x:c r="AE9" s="8"/>
      <x:c r="AF9" s="8">
        <x:v>33</x:v>
      </x:c>
      <x:c r="AG9" s="8">
        <x:v>33</x:v>
      </x:c>
      <x:c r="AH9" s="9">
        <x:f>SUM(C9:AG9)</x:f>
      </x:c>
      <x:c r="AI9" s="8"/>
      <x:c r="AL9" s="135"/>
      <x:c r="AM9" s="124"/>
      <x:c r="AN9" s="124"/>
      <x:c r="AO9" s="156"/>
      <x:c r="AP9" s="124"/>
    </x:row>
    <x:row r="10" spans="1:43" x14ac:dyDescent="0.25">
      <x:c r="A10" s="102"/>
      <x:c r="B10" s="125" t="s">
        <x:v>51</x:v>
      </x:c>
      <x:c r="C10" s="8">
        <x:v>18</x:v>
      </x:c>
      <x:c r="D10" s="8">
        <x:v>24</x:v>
      </x:c>
      <x:c r="E10" s="8">
        <x:v>24</x:v>
      </x:c>
      <x:c r="F10" s="58">
        <x:v>24</x:v>
      </x:c>
      <x:c r="G10" s="58">
        <x:v>24</x:v>
      </x:c>
      <x:c r="H10" s="8">
        <x:v>24</x:v>
      </x:c>
      <x:c r="I10" s="8">
        <x:v>25</x:v>
      </x:c>
      <x:c r="J10" s="8">
        <x:v>5</x:v>
      </x:c>
      <x:c r="K10" s="8">
        <x:v>27</x:v>
      </x:c>
      <x:c r="L10" s="8">
        <x:v>27</x:v>
      </x:c>
      <x:c r="M10" s="126">
        <x:v>27</x:v>
      </x:c>
      <x:c r="N10" s="8">
        <x:v>27</x:v>
      </x:c>
      <x:c r="O10" s="8">
        <x:v>27</x:v>
      </x:c>
      <x:c r="P10" s="8">
        <x:v>28</x:v>
      </x:c>
      <x:c r="Q10" s="8">
        <x:v>10</x:v>
      </x:c>
      <x:c r="R10" s="58">
        <x:v>27</x:v>
      </x:c>
      <x:c r="S10" s="8">
        <x:v>27</x:v>
      </x:c>
      <x:c r="T10" s="126">
        <x:v>28</x:v>
      </x:c>
      <x:c r="U10" s="8">
        <x:v>28</x:v>
      </x:c>
      <x:c r="V10" s="8">
        <x:v>30</x:v>
      </x:c>
      <x:c r="W10" s="8">
        <x:v>30</x:v>
      </x:c>
      <x:c r="X10" s="8"/>
      <x:c r="Y10" s="8">
        <x:v>30</x:v>
      </x:c>
      <x:c r="Z10" s="8">
        <x:v>31</x:v>
      </x:c>
      <x:c r="AA10" s="126">
        <x:v>30</x:v>
      </x:c>
      <x:c r="AB10" s="8">
        <x:v>30</x:v>
      </x:c>
      <x:c r="AC10" s="8">
        <x:v>30</x:v>
      </x:c>
      <x:c r="AD10" s="8">
        <x:v>28</x:v>
      </x:c>
      <x:c r="AE10" s="8"/>
      <x:c r="AF10" s="8">
        <x:v>30</x:v>
      </x:c>
      <x:c r="AG10" s="8">
        <x:v>30</x:v>
      </x:c>
      <x:c r="AH10" s="9">
        <x:f>SUM(C10:AG10)</x:f>
      </x:c>
      <x:c r="AI10" s="8"/>
      <x:c r="AL10" s="135"/>
      <x:c r="AM10" s="124"/>
      <x:c r="AN10" s="124"/>
      <x:c r="AO10" s="156"/>
      <x:c r="AP10" s="124"/>
    </x:row>
    <x:row r="11" spans="1:43" x14ac:dyDescent="0.25">
      <x:c r="A11" s="102"/>
      <x:c r="B11" s="125" t="s">
        <x:v>52</x:v>
      </x:c>
      <x:c r="C11" s="8"/>
      <x:c r="D11" s="8">
        <x:v>11</x:v>
      </x:c>
      <x:c r="E11" s="8">
        <x:v>11</x:v>
      </x:c>
      <x:c r="F11" s="58">
        <x:v>11</x:v>
      </x:c>
      <x:c r="G11" s="58">
        <x:v>11</x:v>
      </x:c>
      <x:c r="H11" s="8">
        <x:v>11</x:v>
      </x:c>
      <x:c r="I11" s="8">
        <x:v>11</x:v>
      </x:c>
      <x:c r="J11" s="8"/>
      <x:c r="K11" s="8">
        <x:v>11</x:v>
      </x:c>
      <x:c r="L11" s="8">
        <x:v>11</x:v>
      </x:c>
      <x:c r="M11" s="157">
        <x:v>11</x:v>
      </x:c>
      <x:c r="N11" s="8">
        <x:v>11</x:v>
      </x:c>
      <x:c r="O11" s="8">
        <x:v>11</x:v>
      </x:c>
      <x:c r="P11" s="8">
        <x:v>11</x:v>
      </x:c>
      <x:c r="Q11" s="8">
        <x:v>2</x:v>
      </x:c>
      <x:c r="R11" s="58">
        <x:v>11</x:v>
      </x:c>
      <x:c r="S11" s="8">
        <x:v>12</x:v>
      </x:c>
      <x:c r="T11" s="126">
        <x:v>12</x:v>
      </x:c>
      <x:c r="U11" s="8">
        <x:v>12</x:v>
      </x:c>
      <x:c r="V11" s="8">
        <x:v>12</x:v>
      </x:c>
      <x:c r="W11" s="8">
        <x:v>12</x:v>
      </x:c>
      <x:c r="X11" s="8"/>
      <x:c r="Y11" s="8">
        <x:v>12</x:v>
      </x:c>
      <x:c r="Z11" s="8">
        <x:v>12</x:v>
      </x:c>
      <x:c r="AA11" s="126">
        <x:v>12</x:v>
      </x:c>
      <x:c r="AB11" s="8">
        <x:v>12</x:v>
      </x:c>
      <x:c r="AC11" s="8">
        <x:v>12</x:v>
      </x:c>
      <x:c r="AD11" s="8">
        <x:v>12</x:v>
      </x:c>
      <x:c r="AE11" s="8"/>
      <x:c r="AF11" s="8">
        <x:v>12</x:v>
      </x:c>
      <x:c r="AG11" s="8">
        <x:v>12</x:v>
      </x:c>
      <x:c r="AH11" s="9">
        <x:f>SUM(C11:AG11)</x:f>
      </x:c>
      <x:c r="AI11" s="8"/>
      <x:c r="AL11" s="135"/>
      <x:c r="AM11" s="124"/>
      <x:c r="AN11" s="124"/>
      <x:c r="AO11" s="156"/>
      <x:c r="AP11" s="124"/>
    </x:row>
    <x:row r="12" spans="1:43" x14ac:dyDescent="0.25">
      <x:c r="A12" s="102"/>
      <x:c r="B12" s="125" t="s">
        <x:v>53</x:v>
      </x:c>
      <x:c r="C12" s="8">
        <x:v>20</x:v>
      </x:c>
      <x:c r="D12" s="8">
        <x:v>420</x:v>
      </x:c>
      <x:c r="E12" s="8">
        <x:v>410</x:v>
      </x:c>
      <x:c r="F12" s="58">
        <x:v>410</x:v>
      </x:c>
      <x:c r="G12" s="58">
        <x:v>410</x:v>
      </x:c>
      <x:c r="H12" s="8">
        <x:v>405</x:v>
      </x:c>
      <x:c r="I12" s="8">
        <x:v>390</x:v>
      </x:c>
      <x:c r="J12" s="8">
        <x:v>130</x:v>
      </x:c>
      <x:c r="K12" s="8">
        <x:v>430</x:v>
      </x:c>
      <x:c r="L12" s="8">
        <x:v>420</x:v>
      </x:c>
      <x:c r="M12" s="126">
        <x:v>420</x:v>
      </x:c>
      <x:c r="N12" s="8">
        <x:v>420</x:v>
      </x:c>
      <x:c r="O12" s="8">
        <x:v>405</x:v>
      </x:c>
      <x:c r="P12" s="8">
        <x:v>405</x:v>
      </x:c>
      <x:c r="Q12" s="8">
        <x:v>120</x:v>
      </x:c>
      <x:c r="R12" s="58">
        <x:v>460</x:v>
      </x:c>
      <x:c r="S12" s="8">
        <x:v>430</x:v>
      </x:c>
      <x:c r="T12" s="126">
        <x:v>430</x:v>
      </x:c>
      <x:c r="U12" s="8">
        <x:v>420</x:v>
      </x:c>
      <x:c r="V12" s="8">
        <x:v>420</x:v>
      </x:c>
      <x:c r="W12" s="8">
        <x:v>420</x:v>
      </x:c>
      <x:c r="X12" s="8"/>
      <x:c r="Y12" s="8">
        <x:v>390</x:v>
      </x:c>
      <x:c r="Z12" s="8">
        <x:v>410</x:v>
      </x:c>
      <x:c r="AA12" s="126">
        <x:v>400</x:v>
      </x:c>
      <x:c r="AB12" s="8">
        <x:v>400</x:v>
      </x:c>
      <x:c r="AC12" s="8">
        <x:v>415</x:v>
      </x:c>
      <x:c r="AD12" s="8">
        <x:v>400</x:v>
      </x:c>
      <x:c r="AE12" s="8"/>
      <x:c r="AF12" s="8">
        <x:v>460</x:v>
      </x:c>
      <x:c r="AG12" s="8">
        <x:v>460</x:v>
      </x:c>
      <x:c r="AH12" s="9">
        <x:f>SUM(C12:AG12)</x:f>
      </x:c>
      <x:c r="AI12" s="8"/>
      <x:c r="AL12" s="135"/>
      <x:c r="AM12" s="124"/>
      <x:c r="AN12" s="124"/>
      <x:c r="AO12" s="156"/>
      <x:c r="AP12" s="124"/>
    </x:row>
    <x:row r="13" spans="1:43" x14ac:dyDescent="0.25">
      <x:c r="A13" s="102"/>
      <x:c r="B13" s="125" t="s">
        <x:v>54</x:v>
      </x:c>
      <x:c r="C13" s="8"/>
      <x:c r="D13" s="8"/>
      <x:c r="E13" s="8"/>
      <x:c r="F13" s="58"/>
      <x:c r="G13" s="58"/>
      <x:c r="H13" s="8"/>
      <x:c r="I13" s="8"/>
      <x:c r="J13" s="8"/>
      <x:c r="K13" s="8"/>
      <x:c r="L13" s="8"/>
      <x:c r="M13" s="126"/>
      <x:c r="N13" s="8"/>
      <x:c r="O13" s="8"/>
      <x:c r="P13" s="8"/>
      <x:c r="Q13" s="8"/>
      <x:c r="R13" s="58"/>
      <x:c r="S13" s="8"/>
      <x:c r="T13" s="126"/>
      <x:c r="U13" s="8"/>
      <x:c r="V13" s="8"/>
      <x:c r="W13" s="8"/>
      <x:c r="X13" s="8"/>
      <x:c r="Y13" s="8"/>
      <x:c r="Z13" s="8"/>
      <x:c r="AA13" s="126"/>
      <x:c r="AB13" s="8"/>
      <x:c r="AC13" s="8"/>
      <x:c r="AD13" s="8"/>
      <x:c r="AE13" s="8"/>
      <x:c r="AF13" s="8"/>
      <x:c r="AG13" s="8"/>
      <x:c r="AH13" s="9">
        <x:f>SUM(C13:AG13)</x:f>
      </x:c>
      <x:c r="AI13" s="8"/>
      <x:c r="AL13" s="135"/>
      <x:c r="AM13" s="124"/>
      <x:c r="AN13" s="124" t="s">
        <x:v>64</x:v>
      </x:c>
      <x:c r="AO13" s="156"/>
      <x:c r="AP13" s="124"/>
    </x:row>
    <x:row r="14" spans="1:43" x14ac:dyDescent="0.25">
      <x:c r="A14" s="102"/>
      <x:c r="B14" s="125" t="s">
        <x:v>55</x:v>
      </x:c>
      <x:c r="C14" s="8">
        <x:v>65</x:v>
      </x:c>
      <x:c r="D14" s="8">
        <x:v>60</x:v>
      </x:c>
      <x:c r="E14" s="8">
        <x:v>60</x:v>
      </x:c>
      <x:c r="F14" s="58">
        <x:v>60</x:v>
      </x:c>
      <x:c r="G14" s="58">
        <x:v>55</x:v>
      </x:c>
      <x:c r="H14" s="8">
        <x:v>55</x:v>
      </x:c>
      <x:c r="I14" s="8">
        <x:v>55</x:v>
      </x:c>
      <x:c r="J14" s="8"/>
      <x:c r="K14" s="8">
        <x:v>55</x:v>
      </x:c>
      <x:c r="L14" s="8">
        <x:v>55</x:v>
      </x:c>
      <x:c r="M14" s="126">
        <x:v>55</x:v>
      </x:c>
      <x:c r="N14" s="8">
        <x:v>55</x:v>
      </x:c>
      <x:c r="O14" s="8">
        <x:v>55</x:v>
      </x:c>
      <x:c r="P14" s="8">
        <x:v>55</x:v>
      </x:c>
      <x:c r="Q14" s="8">
        <x:v>55</x:v>
      </x:c>
      <x:c r="R14" s="58">
        <x:v>55</x:v>
      </x:c>
      <x:c r="S14" s="8">
        <x:v>50</x:v>
      </x:c>
      <x:c r="T14" s="126">
        <x:v>50</x:v>
      </x:c>
      <x:c r="U14" s="8">
        <x:v>55</x:v>
      </x:c>
      <x:c r="V14" s="8">
        <x:v>55</x:v>
      </x:c>
      <x:c r="W14" s="8">
        <x:v>55</x:v>
      </x:c>
      <x:c r="X14" s="8"/>
      <x:c r="Y14" s="8">
        <x:v>50</x:v>
      </x:c>
      <x:c r="Z14" s="8">
        <x:v>55</x:v>
      </x:c>
      <x:c r="AA14" s="126">
        <x:v>55</x:v>
      </x:c>
      <x:c r="AB14" s="8">
        <x:v>55</x:v>
      </x:c>
      <x:c r="AC14" s="8">
        <x:v>55</x:v>
      </x:c>
      <x:c r="AD14" s="8">
        <x:v>55</x:v>
      </x:c>
      <x:c r="AE14" s="8"/>
      <x:c r="AF14" s="8">
        <x:v>55</x:v>
      </x:c>
      <x:c r="AG14" s="8">
        <x:v>55</x:v>
      </x:c>
      <x:c r="AH14" s="9">
        <x:f>SUM(C14:AG14)</x:f>
      </x:c>
      <x:c r="AI14" s="8"/>
      <x:c r="AL14" s="135"/>
      <x:c r="AM14" s="124"/>
      <x:c r="AN14" s="124"/>
      <x:c r="AO14" s="156"/>
      <x:c r="AP14" s="124"/>
    </x:row>
    <x:row r="15" spans="1:43" x14ac:dyDescent="0.25">
      <x:c r="A15" s="102"/>
      <x:c r="B15" s="125" t="s">
        <x:v>56</x:v>
      </x:c>
      <x:c r="C15" s="8">
        <x:v>7</x:v>
      </x:c>
      <x:c r="D15" s="8">
        <x:v>11</x:v>
      </x:c>
      <x:c r="E15" s="8">
        <x:v>11</x:v>
      </x:c>
      <x:c r="F15" s="58">
        <x:v>11</x:v>
      </x:c>
      <x:c r="G15" s="58">
        <x:v>11</x:v>
      </x:c>
      <x:c r="H15" s="8">
        <x:v>11</x:v>
      </x:c>
      <x:c r="I15" s="8">
        <x:v>11</x:v>
      </x:c>
      <x:c r="J15" s="8">
        <x:v>5</x:v>
      </x:c>
      <x:c r="K15" s="8">
        <x:v>11</x:v>
      </x:c>
      <x:c r="L15" s="8">
        <x:v>11</x:v>
      </x:c>
      <x:c r="M15" s="126">
        <x:v>11</x:v>
      </x:c>
      <x:c r="N15" s="8">
        <x:v>11</x:v>
      </x:c>
      <x:c r="O15" s="8">
        <x:v>11</x:v>
      </x:c>
      <x:c r="P15" s="8">
        <x:v>11</x:v>
      </x:c>
      <x:c r="Q15" s="8">
        <x:v>8</x:v>
      </x:c>
      <x:c r="R15" s="58">
        <x:v>11</x:v>
      </x:c>
      <x:c r="S15" s="8">
        <x:v>11</x:v>
      </x:c>
      <x:c r="T15" s="126">
        <x:v>11</x:v>
      </x:c>
      <x:c r="U15" s="8">
        <x:v>11</x:v>
      </x:c>
      <x:c r="V15" s="8">
        <x:v>11</x:v>
      </x:c>
      <x:c r="W15" s="8">
        <x:v>11</x:v>
      </x:c>
      <x:c r="X15" s="8"/>
      <x:c r="Y15" s="8">
        <x:v>11</x:v>
      </x:c>
      <x:c r="Z15" s="8">
        <x:v>11</x:v>
      </x:c>
      <x:c r="AA15" s="126">
        <x:v>11</x:v>
      </x:c>
      <x:c r="AB15" s="8">
        <x:v>11</x:v>
      </x:c>
      <x:c r="AC15" s="8">
        <x:v>11</x:v>
      </x:c>
      <x:c r="AD15" s="8">
        <x:v>11</x:v>
      </x:c>
      <x:c r="AE15" s="8"/>
      <x:c r="AF15" s="8">
        <x:v>11</x:v>
      </x:c>
      <x:c r="AG15" s="8">
        <x:v>11</x:v>
      </x:c>
      <x:c r="AH15" s="9">
        <x:f>SUM(C15:AG15)</x:f>
      </x:c>
      <x:c r="AI15" s="8"/>
      <x:c r="AK15" s="158"/>
      <x:c r="AL15" s="135"/>
      <x:c r="AM15" s="124"/>
      <x:c r="AN15" s="124"/>
      <x:c r="AO15" s="156"/>
      <x:c r="AP15" s="124"/>
    </x:row>
    <x:row r="16" spans="1:43" x14ac:dyDescent="0.25">
      <x:c r="A16" s="102"/>
      <x:c r="B16" s="125" t="s">
        <x:v>57</x:v>
      </x:c>
      <x:c r="C16" s="8"/>
      <x:c r="D16" s="8">
        <x:v>11</x:v>
      </x:c>
      <x:c r="E16" s="8">
        <x:v>11</x:v>
      </x:c>
      <x:c r="F16" s="58">
        <x:v>11</x:v>
      </x:c>
      <x:c r="G16" s="58">
        <x:v>11</x:v>
      </x:c>
      <x:c r="H16" s="8">
        <x:v>11</x:v>
      </x:c>
      <x:c r="I16" s="8">
        <x:v>11</x:v>
      </x:c>
      <x:c r="J16" s="8">
        <x:v>11</x:v>
      </x:c>
      <x:c r="K16" s="8">
        <x:v>11</x:v>
      </x:c>
      <x:c r="L16" s="8">
        <x:v>11</x:v>
      </x:c>
      <x:c r="M16" s="126">
        <x:v>11</x:v>
      </x:c>
      <x:c r="N16" s="8">
        <x:v>11</x:v>
      </x:c>
      <x:c r="O16" s="8">
        <x:v>11</x:v>
      </x:c>
      <x:c r="P16" s="8">
        <x:v>11</x:v>
      </x:c>
      <x:c r="Q16" s="8">
        <x:v>8</x:v>
      </x:c>
      <x:c r="R16" s="58">
        <x:v>11</x:v>
      </x:c>
      <x:c r="S16" s="8">
        <x:v>11</x:v>
      </x:c>
      <x:c r="T16" s="126">
        <x:v>11</x:v>
      </x:c>
      <x:c r="U16" s="8">
        <x:v>11</x:v>
      </x:c>
      <x:c r="V16" s="8">
        <x:v>11</x:v>
      </x:c>
      <x:c r="W16" s="8">
        <x:v>13</x:v>
      </x:c>
      <x:c r="X16" s="8"/>
      <x:c r="Y16" s="8">
        <x:v>11</x:v>
      </x:c>
      <x:c r="Z16" s="8">
        <x:v>11</x:v>
      </x:c>
      <x:c r="AA16" s="126">
        <x:v>11</x:v>
      </x:c>
      <x:c r="AB16" s="8">
        <x:v>11</x:v>
      </x:c>
      <x:c r="AC16" s="8">
        <x:v>11</x:v>
      </x:c>
      <x:c r="AD16" s="8">
        <x:v>11</x:v>
      </x:c>
      <x:c r="AE16" s="8"/>
      <x:c r="AF16" s="8">
        <x:v>11</x:v>
      </x:c>
      <x:c r="AG16" s="8">
        <x:v>11</x:v>
      </x:c>
      <x:c r="AH16" s="9">
        <x:f>SUM(C16:AG16)</x:f>
      </x:c>
      <x:c r="AI16" s="8"/>
      <x:c r="AL16" s="135"/>
      <x:c r="AM16" s="124"/>
      <x:c r="AN16" s="124"/>
      <x:c r="AO16" s="156"/>
      <x:c r="AP16" s="124"/>
    </x:row>
    <x:row r="17" spans="1:43" x14ac:dyDescent="0.25">
      <x:c r="A17" s="102"/>
      <x:c r="B17" s="125" t="s">
        <x:v>65</x:v>
      </x:c>
      <x:c r="C17" s="8"/>
      <x:c r="D17" s="8"/>
      <x:c r="E17" s="8"/>
      <x:c r="F17" s="58"/>
      <x:c r="G17" s="58"/>
      <x:c r="H17" s="8"/>
      <x:c r="I17" s="8"/>
      <x:c r="J17" s="8"/>
      <x:c r="K17" s="8"/>
      <x:c r="L17" s="8"/>
      <x:c r="M17" s="126"/>
      <x:c r="N17" s="8"/>
      <x:c r="O17" s="8"/>
      <x:c r="P17" s="8"/>
      <x:c r="Q17" s="8"/>
      <x:c r="R17" s="58"/>
      <x:c r="S17" s="8"/>
      <x:c r="T17" s="126"/>
      <x:c r="U17" s="8"/>
      <x:c r="V17" s="8"/>
      <x:c r="W17" s="8"/>
      <x:c r="X17" s="8"/>
      <x:c r="Y17" s="8"/>
      <x:c r="Z17" s="8"/>
      <x:c r="AA17" s="126"/>
      <x:c r="AB17" s="8"/>
      <x:c r="AC17" s="8"/>
      <x:c r="AD17" s="8"/>
      <x:c r="AE17" s="8"/>
      <x:c r="AF17" s="8"/>
      <x:c r="AG17" s="8"/>
      <x:c r="AH17" s="9">
        <x:f>SUM(C17:AG17)</x:f>
      </x:c>
      <x:c r="AI17" s="8"/>
      <x:c r="AL17" s="135"/>
      <x:c r="AM17" s="124"/>
      <x:c r="AN17" s="124"/>
      <x:c r="AO17" s="156"/>
      <x:c r="AP17" s="124"/>
    </x:row>
    <x:row r="18" spans="1:43" x14ac:dyDescent="0.25">
      <x:c r="A18" s="102"/>
      <x:c r="B18" s="125" t="s">
        <x:v>68</x:v>
      </x:c>
      <x:c r="C18" s="8">
        <x:v>8</x:v>
      </x:c>
      <x:c r="D18" s="8">
        <x:v>8</x:v>
      </x:c>
      <x:c r="E18" s="8">
        <x:v>8</x:v>
      </x:c>
      <x:c r="F18" s="58">
        <x:v>8</x:v>
      </x:c>
      <x:c r="G18" s="58">
        <x:v>8</x:v>
      </x:c>
      <x:c r="H18" s="8">
        <x:v>8</x:v>
      </x:c>
      <x:c r="I18" s="8">
        <x:v>8</x:v>
      </x:c>
      <x:c r="J18" s="8">
        <x:v>8</x:v>
      </x:c>
      <x:c r="K18" s="8">
        <x:v>8</x:v>
      </x:c>
      <x:c r="L18" s="8">
        <x:v>8</x:v>
      </x:c>
      <x:c r="M18" s="126">
        <x:v>8</x:v>
      </x:c>
      <x:c r="N18" s="8">
        <x:v>8</x:v>
      </x:c>
      <x:c r="O18" s="8">
        <x:v>8</x:v>
      </x:c>
      <x:c r="P18" s="8">
        <x:v>8</x:v>
      </x:c>
      <x:c r="Q18" s="8">
        <x:v>8</x:v>
      </x:c>
      <x:c r="R18" s="58">
        <x:v>8</x:v>
      </x:c>
      <x:c r="S18" s="8">
        <x:v>8</x:v>
      </x:c>
      <x:c r="T18" s="126">
        <x:v>8</x:v>
      </x:c>
      <x:c r="U18" s="8">
        <x:v>8</x:v>
      </x:c>
      <x:c r="V18" s="8">
        <x:v>8</x:v>
      </x:c>
      <x:c r="W18" s="8">
        <x:v>8</x:v>
      </x:c>
      <x:c r="X18" s="8"/>
      <x:c r="Y18" s="8">
        <x:v>8</x:v>
      </x:c>
      <x:c r="Z18" s="8">
        <x:v>8</x:v>
      </x:c>
      <x:c r="AA18" s="126">
        <x:v>8</x:v>
      </x:c>
      <x:c r="AB18" s="8">
        <x:v>8</x:v>
      </x:c>
      <x:c r="AC18" s="8">
        <x:v>8</x:v>
      </x:c>
      <x:c r="AD18" s="8">
        <x:v>8</x:v>
      </x:c>
      <x:c r="AE18" s="8"/>
      <x:c r="AF18" s="8">
        <x:v>8</x:v>
      </x:c>
      <x:c r="AG18" s="8">
        <x:v>8</x:v>
      </x:c>
      <x:c r="AH18" s="9">
        <x:f>SUM(C18:AG18)</x:f>
      </x:c>
      <x:c r="AI18" s="8"/>
      <x:c r="AL18" s="135"/>
      <x:c r="AM18" s="124"/>
      <x:c r="AN18" s="124"/>
      <x:c r="AO18" s="156"/>
      <x:c r="AP18" s="124"/>
    </x:row>
    <x:row r="19" spans="1:43" ht="19.5" customHeight="1" x14ac:dyDescent="0.35">
      <x:c r="A19" s="103"/>
      <x:c r="B19" s="145" t="s">
        <x:v>34</x:v>
      </x:c>
      <x:c r="C19" s="146">
        <x:f>SUM(C3:C18)</x:f>
      </x:c>
      <x:c r="D19" s="146">
        <x:f>SUM(D3:D18)</x:f>
      </x:c>
      <x:c r="E19" s="146">
        <x:f>SUM(E3:E18)</x:f>
      </x:c>
      <x:c r="F19" s="146">
        <x:f>SUM(F3:F18)</x:f>
      </x:c>
      <x:c r="G19" s="146">
        <x:f>SUM(G3:G18)</x:f>
      </x:c>
      <x:c r="H19" s="146">
        <x:f>SUM(H3:H18)</x:f>
      </x:c>
      <x:c r="I19" s="146">
        <x:f>SUM(I3:I18)</x:f>
      </x:c>
      <x:c r="J19" s="146">
        <x:f>SUM(J3:J18)</x:f>
      </x:c>
      <x:c r="K19" s="146">
        <x:f>SUM(K3:K18)</x:f>
      </x:c>
      <x:c r="L19" s="146">
        <x:f>SUM(L3:L18)</x:f>
      </x:c>
      <x:c r="M19" s="147">
        <x:f>SUM(M3:M18)</x:f>
      </x:c>
      <x:c r="N19" s="146">
        <x:f>SUM(N3:N18)</x:f>
      </x:c>
      <x:c r="O19" s="146">
        <x:f>SUM(O3:O18)</x:f>
      </x:c>
      <x:c r="P19" s="146">
        <x:f>SUM(P3:P18)</x:f>
      </x:c>
      <x:c r="Q19" s="146">
        <x:f>SUM(Q3:Q18)</x:f>
      </x:c>
      <x:c r="R19" s="146">
        <x:f>SUM(R3:R18)</x:f>
      </x:c>
      <x:c r="S19" s="146">
        <x:f>SUM(S3:S18)</x:f>
      </x:c>
      <x:c r="T19" s="147">
        <x:f>SUM(T3:T18)</x:f>
      </x:c>
      <x:c r="U19" s="146">
        <x:f>SUM(U3:U18)</x:f>
      </x:c>
      <x:c r="V19" s="146">
        <x:f>SUM(V3:V18)</x:f>
      </x:c>
      <x:c r="W19" s="146">
        <x:f>SUM(W3:W18)</x:f>
      </x:c>
      <x:c r="X19" s="146">
        <x:f>SUM(X3:X18)</x:f>
      </x:c>
      <x:c r="Y19" s="146">
        <x:f>SUM(Y3:Y18)</x:f>
      </x:c>
      <x:c r="Z19" s="146">
        <x:f>SUM(Z3:Z18)</x:f>
      </x:c>
      <x:c r="AA19" s="147">
        <x:f>SUM(AA3:AA18)</x:f>
      </x:c>
      <x:c r="AB19" s="146">
        <x:f>SUM(AB3:AB18)</x:f>
      </x:c>
      <x:c r="AC19" s="146">
        <x:f>SUM(AC3:AC18)</x:f>
      </x:c>
      <x:c r="AD19" s="146">
        <x:f>SUM(AD3:AD18)</x:f>
      </x:c>
      <x:c r="AE19" s="146">
        <x:f>SUM(AE3:AE18)</x:f>
      </x:c>
      <x:c r="AF19" s="146">
        <x:f>SUM(AF3:AF18)</x:f>
      </x:c>
      <x:c r="AG19" s="146">
        <x:f>SUM(AG3:AG18)</x:f>
      </x:c>
      <x:c r="AH19" s="146">
        <x:f>SUM(AH3:AH18)</x:f>
      </x:c>
      <x:c r="AI19" s="146"/>
      <x:c r="AJ19" s="159"/>
      <x:c r="AK19" s="160"/>
      <x:c r="AM19" s="124"/>
      <x:c r="AN19" s="124"/>
      <x:c r="AO19" s="156"/>
      <x:c r="AP19" s="124"/>
    </x:row>
    <x:row r="20" spans="1:43" ht="18.75" customHeight="1" x14ac:dyDescent="0.3">
      <x:c r="A20" s="21"/>
      <x:c r="B20" s="145"/>
      <x:c r="C20" s="118">
        <x:v>25</x:v>
      </x:c>
      <x:c r="D20" s="118" t="s">
        <x:v>3</x:v>
      </x:c>
      <x:c r="E20" s="118" t="s">
        <x:v>4</x:v>
      </x:c>
      <x:c r="F20" s="118" t="s">
        <x:v>5</x:v>
      </x:c>
      <x:c r="G20" s="118" t="s">
        <x:v>6</x:v>
      </x:c>
      <x:c r="H20" s="118" t="s">
        <x:v>7</x:v>
      </x:c>
      <x:c r="I20" s="118" t="s">
        <x:v>8</x:v>
      </x:c>
      <x:c r="J20" s="118" t="s">
        <x:v>9</x:v>
      </x:c>
      <x:c r="K20" s="118" t="s">
        <x:v>10</x:v>
      </x:c>
      <x:c r="L20" s="118" t="s">
        <x:v>11</x:v>
      </x:c>
      <x:c r="M20" s="118" t="s">
        <x:v>12</x:v>
      </x:c>
      <x:c r="N20" s="118" t="s">
        <x:v>13</x:v>
      </x:c>
      <x:c r="O20" s="118" t="s">
        <x:v>14</x:v>
      </x:c>
      <x:c r="P20" s="118" t="s">
        <x:v>15</x:v>
      </x:c>
      <x:c r="Q20" s="118" t="s">
        <x:v>16</x:v>
      </x:c>
      <x:c r="R20" s="118" t="s">
        <x:v>17</x:v>
      </x:c>
      <x:c r="S20" s="154" t="s">
        <x:v>18</x:v>
      </x:c>
      <x:c r="T20" s="118" t="s">
        <x:v>19</x:v>
      </x:c>
      <x:c r="U20" s="118" t="s">
        <x:v>20</x:v>
      </x:c>
      <x:c r="V20" s="118" t="s">
        <x:v>21</x:v>
      </x:c>
      <x:c r="W20" s="118" t="s">
        <x:v>22</x:v>
      </x:c>
      <x:c r="X20" s="118" t="s">
        <x:v>23</x:v>
      </x:c>
      <x:c r="Y20" s="118" t="s">
        <x:v>24</x:v>
      </x:c>
      <x:c r="Z20" s="118" t="s">
        <x:v>25</x:v>
      </x:c>
      <x:c r="AA20" s="118" t="s">
        <x:v>26</x:v>
      </x:c>
      <x:c r="AB20" s="118" t="s">
        <x:v>27</x:v>
      </x:c>
      <x:c r="AC20" s="118" t="s">
        <x:v>28</x:v>
      </x:c>
      <x:c r="AD20" s="118" t="s">
        <x:v>29</x:v>
      </x:c>
      <x:c r="AE20" s="118" t="s">
        <x:v>30</x:v>
      </x:c>
      <x:c r="AF20" s="118" t="s">
        <x:v>31</x:v>
      </x:c>
      <x:c r="AG20" s="118" t="s">
        <x:v>32</x:v>
      </x:c>
      <x:c r="AH20" s="146"/>
      <x:c r="AI20" s="146"/>
      <x:c r="AJ20" s="161"/>
      <x:c r="AK20" s="160"/>
      <x:c r="AM20" s="124"/>
      <x:c r="AN20" s="124"/>
      <x:c r="AO20" s="156"/>
      <x:c r="AP20" s="124"/>
    </x:row>
    <x:row r="21" spans="1:43" ht="15.75" customHeight="1" x14ac:dyDescent="0.3">
      <x:c r="A21" s="21"/>
      <x:c r="B21" s="148" t="s">
        <x:v>36</x:v>
      </x:c>
      <x:c r="C21" s="8"/>
      <x:c r="D21" s="8">
        <x:v>1</x:v>
      </x:c>
      <x:c r="E21" s="8">
        <x:v>1</x:v>
      </x:c>
      <x:c r="F21" s="8">
        <x:v>1</x:v>
      </x:c>
      <x:c r="G21" s="8">
        <x:v>1</x:v>
      </x:c>
      <x:c r="H21" s="8">
        <x:v>1</x:v>
      </x:c>
      <x:c r="I21" s="49">
        <x:v>1</x:v>
      </x:c>
      <x:c r="J21" s="49">
        <x:v>1</x:v>
      </x:c>
      <x:c r="K21" s="49">
        <x:v>1</x:v>
      </x:c>
      <x:c r="L21" s="49">
        <x:v>1</x:v>
      </x:c>
      <x:c r="M21" s="8">
        <x:v>1</x:v>
      </x:c>
      <x:c r="N21" s="8">
        <x:v>1</x:v>
      </x:c>
      <x:c r="O21" s="8">
        <x:v>1</x:v>
      </x:c>
      <x:c r="P21" s="8">
        <x:v>1</x:v>
      </x:c>
      <x:c r="Q21" s="8">
        <x:v>1</x:v>
      </x:c>
      <x:c r="R21" s="8">
        <x:v>1</x:v>
      </x:c>
      <x:c r="S21" s="58">
        <x:v>1</x:v>
      </x:c>
      <x:c r="T21" s="162">
        <x:v>1</x:v>
      </x:c>
      <x:c r="U21" s="162">
        <x:v>1</x:v>
      </x:c>
      <x:c r="V21" s="162">
        <x:v>1</x:v>
      </x:c>
      <x:c r="W21" s="162">
        <x:v>1</x:v>
      </x:c>
      <x:c r="X21" s="162">
        <x:v>2</x:v>
      </x:c>
      <x:c r="Y21" s="162">
        <x:v>1</x:v>
      </x:c>
      <x:c r="Z21" s="162"/>
      <x:c r="AA21" s="162">
        <x:v>1</x:v>
      </x:c>
      <x:c r="AB21" s="162">
        <x:v>1</x:v>
      </x:c>
      <x:c r="AC21" s="162">
        <x:v>1</x:v>
      </x:c>
      <x:c r="AD21" s="162">
        <x:v>1</x:v>
      </x:c>
      <x:c r="AE21" s="162">
        <x:v>1</x:v>
      </x:c>
      <x:c r="AF21" s="8">
        <x:v>1</x:v>
      </x:c>
      <x:c r="AG21" s="8"/>
      <x:c r="AH21" s="9">
        <x:f>SUM(C21:AG21)</x:f>
      </x:c>
      <x:c r="AI21" s="8"/>
      <x:c r="AL21" s="135"/>
      <x:c r="AM21" s="124"/>
      <x:c r="AN21" s="124"/>
      <x:c r="AO21" s="156"/>
      <x:c r="AP21" s="124"/>
    </x:row>
    <x:row r="22" spans="1:43" x14ac:dyDescent="0.25">
      <x:c r="A22" s="109" t="s">
        <x:v>69</x:v>
      </x:c>
      <x:c r="B22" s="148" t="s">
        <x:v>37</x:v>
      </x:c>
      <x:c r="C22" s="8"/>
      <x:c r="D22" s="8"/>
      <x:c r="E22" s="8"/>
      <x:c r="F22" s="8"/>
      <x:c r="G22" s="8"/>
      <x:c r="H22" s="8"/>
      <x:c r="I22" s="49"/>
      <x:c r="J22" s="49"/>
      <x:c r="K22" s="49"/>
      <x:c r="L22" s="49"/>
      <x:c r="M22" s="8"/>
      <x:c r="N22" s="8"/>
      <x:c r="O22" s="8"/>
      <x:c r="P22" s="8"/>
      <x:c r="Q22" s="8"/>
      <x:c r="R22" s="8"/>
      <x:c r="S22" s="58"/>
      <x:c r="T22" s="162"/>
      <x:c r="U22" s="162"/>
      <x:c r="V22" s="162"/>
      <x:c r="W22" s="162"/>
      <x:c r="X22" s="162"/>
      <x:c r="Y22" s="162"/>
      <x:c r="Z22" s="162"/>
      <x:c r="AA22" s="162"/>
      <x:c r="AB22" s="162"/>
      <x:c r="AC22" s="162"/>
      <x:c r="AD22" s="162"/>
      <x:c r="AE22" s="162"/>
      <x:c r="AF22" s="8"/>
      <x:c r="AG22" s="8"/>
      <x:c r="AH22" s="9">
        <x:f>SUM(C22:AG22)</x:f>
      </x:c>
      <x:c r="AI22" s="8"/>
      <x:c r="AL22" s="135"/>
      <x:c r="AM22" s="124"/>
      <x:c r="AN22" s="124"/>
      <x:c r="AO22" s="156"/>
      <x:c r="AP22" s="124"/>
    </x:row>
    <x:row r="23" spans="1:43" x14ac:dyDescent="0.25">
      <x:c r="A23" s="21"/>
      <x:c r="B23" s="148" t="s">
        <x:v>44</x:v>
      </x:c>
      <x:c r="C23" s="8"/>
      <x:c r="D23" s="8"/>
      <x:c r="E23" s="8"/>
      <x:c r="F23" s="8"/>
      <x:c r="G23" s="8"/>
      <x:c r="H23" s="8"/>
      <x:c r="I23" s="49"/>
      <x:c r="J23" s="49"/>
      <x:c r="K23" s="49"/>
      <x:c r="L23" s="49"/>
      <x:c r="M23" s="8"/>
      <x:c r="N23" s="8"/>
      <x:c r="O23" s="8"/>
      <x:c r="P23" s="8"/>
      <x:c r="Q23" s="8"/>
      <x:c r="R23" s="8"/>
      <x:c r="S23" s="58"/>
      <x:c r="T23" s="162"/>
      <x:c r="U23" s="162"/>
      <x:c r="V23" s="162"/>
      <x:c r="W23" s="162"/>
      <x:c r="X23" s="162"/>
      <x:c r="Y23" s="162"/>
      <x:c r="Z23" s="162"/>
      <x:c r="AA23" s="162"/>
      <x:c r="AB23" s="162"/>
      <x:c r="AC23" s="162"/>
      <x:c r="AD23" s="162"/>
      <x:c r="AE23" s="162"/>
      <x:c r="AF23" s="8"/>
      <x:c r="AG23" s="8"/>
      <x:c r="AH23" s="9">
        <x:f>SUM(C23:AG23)</x:f>
      </x:c>
      <x:c r="AI23" s="8"/>
      <x:c r="AL23" s="135"/>
      <x:c r="AM23" s="124"/>
      <x:c r="AN23" s="124"/>
      <x:c r="AO23" s="156"/>
      <x:c r="AP23" s="124"/>
    </x:row>
    <x:row r="24" spans="1:43" x14ac:dyDescent="0.25">
      <x:c r="A24" s="21"/>
      <x:c r="B24" s="148" t="s">
        <x:v>45</x:v>
      </x:c>
      <x:c r="C24" s="8"/>
      <x:c r="D24" s="8"/>
      <x:c r="E24" s="8"/>
      <x:c r="F24" s="8"/>
      <x:c r="G24" s="8"/>
      <x:c r="H24" s="8"/>
      <x:c r="I24" s="49"/>
      <x:c r="J24" s="49"/>
      <x:c r="K24" s="49"/>
      <x:c r="L24" s="49"/>
      <x:c r="M24" s="8"/>
      <x:c r="N24" s="8"/>
      <x:c r="O24" s="8"/>
      <x:c r="P24" s="8"/>
      <x:c r="Q24" s="8"/>
      <x:c r="R24" s="8"/>
      <x:c r="S24" s="58"/>
      <x:c r="T24" s="162"/>
      <x:c r="U24" s="162"/>
      <x:c r="V24" s="162"/>
      <x:c r="W24" s="162"/>
      <x:c r="X24" s="162"/>
      <x:c r="Y24" s="162"/>
      <x:c r="Z24" s="162"/>
      <x:c r="AA24" s="162"/>
      <x:c r="AB24" s="162"/>
      <x:c r="AC24" s="162"/>
      <x:c r="AD24" s="162"/>
      <x:c r="AE24" s="162"/>
      <x:c r="AF24" s="8"/>
      <x:c r="AG24" s="8"/>
      <x:c r="AH24" s="9">
        <x:f>SUM(C24:AG24)</x:f>
      </x:c>
      <x:c r="AI24" s="8"/>
      <x:c r="AL24" s="135"/>
      <x:c r="AM24" s="124"/>
      <x:c r="AN24" s="124"/>
      <x:c r="AO24" s="156"/>
      <x:c r="AP24" s="124"/>
    </x:row>
    <x:row r="25" spans="1:43" x14ac:dyDescent="0.25">
      <x:c r="A25" s="21"/>
      <x:c r="B25" s="148" t="s">
        <x:v>46</x:v>
      </x:c>
      <x:c r="C25" s="8"/>
      <x:c r="D25" s="8">
        <x:v>1</x:v>
      </x:c>
      <x:c r="E25" s="8">
        <x:v>1</x:v>
      </x:c>
      <x:c r="F25" s="8">
        <x:v>1</x:v>
      </x:c>
      <x:c r="G25" s="8">
        <x:v>1</x:v>
      </x:c>
      <x:c r="H25" s="8">
        <x:v>1</x:v>
      </x:c>
      <x:c r="I25" s="49">
        <x:v>1</x:v>
      </x:c>
      <x:c r="J25" s="49">
        <x:v>1</x:v>
      </x:c>
      <x:c r="K25" s="49">
        <x:v>1</x:v>
      </x:c>
      <x:c r="L25" s="49">
        <x:v>1</x:v>
      </x:c>
      <x:c r="M25" s="8">
        <x:v>1</x:v>
      </x:c>
      <x:c r="N25" s="8">
        <x:v>1</x:v>
      </x:c>
      <x:c r="O25" s="8">
        <x:v>1</x:v>
      </x:c>
      <x:c r="P25" s="8">
        <x:v>1</x:v>
      </x:c>
      <x:c r="Q25" s="8">
        <x:v>1</x:v>
      </x:c>
      <x:c r="R25" s="8">
        <x:v>1</x:v>
      </x:c>
      <x:c r="S25" s="58">
        <x:v>1</x:v>
      </x:c>
      <x:c r="T25" s="162">
        <x:v>1</x:v>
      </x:c>
      <x:c r="U25" s="162">
        <x:v>1</x:v>
      </x:c>
      <x:c r="V25" s="162">
        <x:v>1</x:v>
      </x:c>
      <x:c r="W25" s="162">
        <x:v>1</x:v>
      </x:c>
      <x:c r="X25" s="162"/>
      <x:c r="Y25" s="162">
        <x:v>1</x:v>
      </x:c>
      <x:c r="Z25" s="162"/>
      <x:c r="AA25" s="162">
        <x:v>1</x:v>
      </x:c>
      <x:c r="AB25" s="162">
        <x:v>1</x:v>
      </x:c>
      <x:c r="AC25" s="162">
        <x:v>1</x:v>
      </x:c>
      <x:c r="AD25" s="162">
        <x:v>1</x:v>
      </x:c>
      <x:c r="AE25" s="162">
        <x:v>1</x:v>
      </x:c>
      <x:c r="AF25" s="8">
        <x:v>1</x:v>
      </x:c>
      <x:c r="AG25" s="8"/>
      <x:c r="AH25" s="9">
        <x:f>SUM(C25:AG25)</x:f>
      </x:c>
      <x:c r="AI25" s="8"/>
      <x:c r="AL25" s="135"/>
      <x:c r="AM25" s="124"/>
      <x:c r="AN25" s="124"/>
      <x:c r="AO25" s="156"/>
      <x:c r="AP25" s="124"/>
    </x:row>
    <x:row r="26" spans="1:43" x14ac:dyDescent="0.25">
      <x:c r="A26" s="21"/>
      <x:c r="B26" s="148" t="s">
        <x:v>48</x:v>
      </x:c>
      <x:c r="C26" s="8"/>
      <x:c r="D26" s="8">
        <x:v>4</x:v>
      </x:c>
      <x:c r="E26" s="8">
        <x:v>3</x:v>
      </x:c>
      <x:c r="F26" s="8">
        <x:v>3</x:v>
      </x:c>
      <x:c r="G26" s="8">
        <x:v>4</x:v>
      </x:c>
      <x:c r="H26" s="8">
        <x:v>4</x:v>
      </x:c>
      <x:c r="I26" s="49">
        <x:v>4</x:v>
      </x:c>
      <x:c r="J26" s="49">
        <x:v>4</x:v>
      </x:c>
      <x:c r="K26" s="49">
        <x:v>4</x:v>
      </x:c>
      <x:c r="L26" s="49">
        <x:v>3</x:v>
      </x:c>
      <x:c r="M26" s="8">
        <x:v>4</x:v>
      </x:c>
      <x:c r="N26" s="8">
        <x:v>4</x:v>
      </x:c>
      <x:c r="O26" s="8">
        <x:v>4</x:v>
      </x:c>
      <x:c r="P26" s="8">
        <x:v>4</x:v>
      </x:c>
      <x:c r="Q26" s="8">
        <x:v>4</x:v>
      </x:c>
      <x:c r="R26" s="8">
        <x:v>4</x:v>
      </x:c>
      <x:c r="S26" s="58">
        <x:v>4</x:v>
      </x:c>
      <x:c r="T26" s="162">
        <x:v>4</x:v>
      </x:c>
      <x:c r="U26" s="162">
        <x:v>4</x:v>
      </x:c>
      <x:c r="V26" s="162">
        <x:v>4</x:v>
      </x:c>
      <x:c r="W26" s="162">
        <x:v>4</x:v>
      </x:c>
      <x:c r="X26" s="162">
        <x:v>4</x:v>
      </x:c>
      <x:c r="Y26" s="162">
        <x:v>4</x:v>
      </x:c>
      <x:c r="Z26" s="162"/>
      <x:c r="AA26" s="162">
        <x:v>4</x:v>
      </x:c>
      <x:c r="AB26" s="162">
        <x:v>4</x:v>
      </x:c>
      <x:c r="AC26" s="162">
        <x:v>4</x:v>
      </x:c>
      <x:c r="AD26" s="162">
        <x:v>4</x:v>
      </x:c>
      <x:c r="AE26" s="162">
        <x:v>4</x:v>
      </x:c>
      <x:c r="AF26" s="8">
        <x:v>3</x:v>
      </x:c>
      <x:c r="AG26" s="8"/>
      <x:c r="AH26" s="9">
        <x:f>SUM(C26:AG26)</x:f>
      </x:c>
      <x:c r="AI26" s="8"/>
      <x:c r="AL26" s="135"/>
      <x:c r="AM26" s="124"/>
      <x:c r="AN26" s="124"/>
      <x:c r="AO26" s="156"/>
      <x:c r="AP26" s="124"/>
    </x:row>
    <x:row r="27" spans="1:43" x14ac:dyDescent="0.25">
      <x:c r="A27" s="21"/>
      <x:c r="B27" s="148" t="s">
        <x:v>63</x:v>
      </x:c>
      <x:c r="C27" s="8"/>
      <x:c r="D27" s="8">
        <x:v>29</x:v>
      </x:c>
      <x:c r="E27" s="8">
        <x:v>5</x:v>
      </x:c>
      <x:c r="F27" s="8">
        <x:v>32</x:v>
      </x:c>
      <x:c r="G27" s="8">
        <x:v>32</x:v>
      </x:c>
      <x:c r="H27" s="8">
        <x:v>31</x:v>
      </x:c>
      <x:c r="I27" s="49">
        <x:v>30</x:v>
      </x:c>
      <x:c r="J27" s="49">
        <x:v>30</x:v>
      </x:c>
      <x:c r="K27" s="49">
        <x:v>34</x:v>
      </x:c>
      <x:c r="L27" s="49"/>
      <x:c r="M27" s="8">
        <x:v>32</x:v>
      </x:c>
      <x:c r="N27" s="8">
        <x:v>32</x:v>
      </x:c>
      <x:c r="O27" s="8">
        <x:v>32</x:v>
      </x:c>
      <x:c r="P27" s="8">
        <x:v>32</x:v>
      </x:c>
      <x:c r="Q27" s="8">
        <x:v>32</x:v>
      </x:c>
      <x:c r="R27" s="8">
        <x:v>34</x:v>
      </x:c>
      <x:c r="S27" s="58">
        <x:v>7</x:v>
      </x:c>
      <x:c r="T27" s="162">
        <x:v>30</x:v>
      </x:c>
      <x:c r="U27" s="162">
        <x:v>31</x:v>
      </x:c>
      <x:c r="V27" s="162">
        <x:v>31</x:v>
      </x:c>
      <x:c r="W27" s="162">
        <x:v>31</x:v>
      </x:c>
      <x:c r="X27" s="162">
        <x:v>31</x:v>
      </x:c>
      <x:c r="Y27" s="162">
        <x:v>31</x:v>
      </x:c>
      <x:c r="Z27" s="162"/>
      <x:c r="AA27" s="162">
        <x:v>31</x:v>
      </x:c>
      <x:c r="AB27" s="162">
        <x:v>30</x:v>
      </x:c>
      <x:c r="AC27" s="162">
        <x:v>30</x:v>
      </x:c>
      <x:c r="AD27" s="162">
        <x:v>30</x:v>
      </x:c>
      <x:c r="AE27" s="162">
        <x:v>30</x:v>
      </x:c>
      <x:c r="AF27" s="8">
        <x:v>24</x:v>
      </x:c>
      <x:c r="AG27" s="8"/>
      <x:c r="AH27" s="9">
        <x:f>SUM(C27:AG27)</x:f>
      </x:c>
      <x:c r="AI27" s="8"/>
      <x:c r="AL27" s="135"/>
      <x:c r="AM27" s="124"/>
      <x:c r="AN27" s="124"/>
      <x:c r="AO27" s="156"/>
      <x:c r="AP27" s="124"/>
    </x:row>
    <x:row r="28" spans="1:43" x14ac:dyDescent="0.25">
      <x:c r="A28" s="21"/>
      <x:c r="B28" s="148" t="s">
        <x:v>51</x:v>
      </x:c>
      <x:c r="C28" s="8"/>
      <x:c r="D28" s="8">
        <x:v>10</x:v>
      </x:c>
      <x:c r="E28" s="8">
        <x:v>10</x:v>
      </x:c>
      <x:c r="F28" s="8">
        <x:v>10</x:v>
      </x:c>
      <x:c r="G28" s="8">
        <x:v>10</x:v>
      </x:c>
      <x:c r="H28" s="8">
        <x:v>10</x:v>
      </x:c>
      <x:c r="I28" s="49">
        <x:v>10</x:v>
      </x:c>
      <x:c r="J28" s="49">
        <x:v>10</x:v>
      </x:c>
      <x:c r="K28" s="49">
        <x:v>10</x:v>
      </x:c>
      <x:c r="L28" s="49">
        <x:v>5</x:v>
      </x:c>
      <x:c r="M28" s="8">
        <x:v>10</x:v>
      </x:c>
      <x:c r="N28" s="8">
        <x:v>10</x:v>
      </x:c>
      <x:c r="O28" s="8">
        <x:v>10</x:v>
      </x:c>
      <x:c r="P28" s="8">
        <x:v>10</x:v>
      </x:c>
      <x:c r="Q28" s="8">
        <x:v>10</x:v>
      </x:c>
      <x:c r="R28" s="8">
        <x:v>10</x:v>
      </x:c>
      <x:c r="S28" s="58">
        <x:v>5</x:v>
      </x:c>
      <x:c r="T28" s="162">
        <x:v>10</x:v>
      </x:c>
      <x:c r="U28" s="162">
        <x:v>10</x:v>
      </x:c>
      <x:c r="V28" s="162">
        <x:v>10</x:v>
      </x:c>
      <x:c r="W28" s="162">
        <x:v>10</x:v>
      </x:c>
      <x:c r="X28" s="162">
        <x:v>10</x:v>
      </x:c>
      <x:c r="Y28" s="162">
        <x:v>10</x:v>
      </x:c>
      <x:c r="Z28" s="162"/>
      <x:c r="AA28" s="162">
        <x:v>10</x:v>
      </x:c>
      <x:c r="AB28" s="162">
        <x:v>10</x:v>
      </x:c>
      <x:c r="AC28" s="162">
        <x:v>10</x:v>
      </x:c>
      <x:c r="AD28" s="162">
        <x:v>10</x:v>
      </x:c>
      <x:c r="AE28" s="162">
        <x:v>10</x:v>
      </x:c>
      <x:c r="AF28" s="8">
        <x:v>10</x:v>
      </x:c>
      <x:c r="AG28" s="8"/>
      <x:c r="AH28" s="9">
        <x:f>SUM(C28:AG28)</x:f>
      </x:c>
      <x:c r="AI28" s="8"/>
      <x:c r="AL28" s="135"/>
      <x:c r="AM28" s="124"/>
      <x:c r="AN28" s="124"/>
      <x:c r="AO28" s="156"/>
      <x:c r="AP28" s="124"/>
    </x:row>
    <x:row r="29" spans="1:43" x14ac:dyDescent="0.25">
      <x:c r="A29" s="21"/>
      <x:c r="B29" s="148" t="s">
        <x:v>52</x:v>
      </x:c>
      <x:c r="C29" s="8"/>
      <x:c r="D29" s="8">
        <x:v>12</x:v>
      </x:c>
      <x:c r="E29" s="8"/>
      <x:c r="F29" s="8">
        <x:v>11</x:v>
      </x:c>
      <x:c r="G29" s="8">
        <x:v>11</x:v>
      </x:c>
      <x:c r="H29" s="8">
        <x:v>11</x:v>
      </x:c>
      <x:c r="I29" s="49">
        <x:v>11</x:v>
      </x:c>
      <x:c r="J29" s="49">
        <x:v>11</x:v>
      </x:c>
      <x:c r="K29" s="49">
        <x:v>11</x:v>
      </x:c>
      <x:c r="L29" s="49"/>
      <x:c r="M29" s="8">
        <x:v>11</x:v>
      </x:c>
      <x:c r="N29" s="8">
        <x:v>11</x:v>
      </x:c>
      <x:c r="O29" s="8">
        <x:v>11</x:v>
      </x:c>
      <x:c r="P29" s="8">
        <x:v>11</x:v>
      </x:c>
      <x:c r="Q29" s="8">
        <x:v>11</x:v>
      </x:c>
      <x:c r="R29" s="8">
        <x:v>11</x:v>
      </x:c>
      <x:c r="S29" s="58">
        <x:v>2</x:v>
      </x:c>
      <x:c r="T29" s="162">
        <x:v>11</x:v>
      </x:c>
      <x:c r="U29" s="162">
        <x:v>12</x:v>
      </x:c>
      <x:c r="V29" s="162">
        <x:v>12</x:v>
      </x:c>
      <x:c r="W29" s="162">
        <x:v>12</x:v>
      </x:c>
      <x:c r="X29" s="162">
        <x:v>12</x:v>
      </x:c>
      <x:c r="Y29" s="162">
        <x:v>12</x:v>
      </x:c>
      <x:c r="Z29" s="162"/>
      <x:c r="AA29" s="162">
        <x:v>12</x:v>
      </x:c>
      <x:c r="AB29" s="162">
        <x:v>12</x:v>
      </x:c>
      <x:c r="AC29" s="162">
        <x:v>12</x:v>
      </x:c>
      <x:c r="AD29" s="162">
        <x:v>12</x:v>
      </x:c>
      <x:c r="AE29" s="162">
        <x:v>12</x:v>
      </x:c>
      <x:c r="AF29" s="8">
        <x:v>12</x:v>
      </x:c>
      <x:c r="AG29" s="8"/>
      <x:c r="AH29" s="9">
        <x:f>SUM(C29:AG29)</x:f>
      </x:c>
      <x:c r="AI29" s="8"/>
      <x:c r="AL29" s="135"/>
      <x:c r="AM29" s="124"/>
      <x:c r="AN29" s="124"/>
      <x:c r="AO29" s="156"/>
      <x:c r="AP29" s="124"/>
    </x:row>
    <x:row r="30" spans="1:43" x14ac:dyDescent="0.25">
      <x:c r="A30" s="21"/>
      <x:c r="B30" s="148" t="s">
        <x:v>53</x:v>
      </x:c>
      <x:c r="C30" s="8"/>
      <x:c r="D30" s="8">
        <x:v>420</x:v>
      </x:c>
      <x:c r="E30" s="8">
        <x:v>20</x:v>
      </x:c>
      <x:c r="F30" s="8">
        <x:v>420</x:v>
      </x:c>
      <x:c r="G30" s="8">
        <x:v>410</x:v>
      </x:c>
      <x:c r="H30" s="8">
        <x:v>410</x:v>
      </x:c>
      <x:c r="I30" s="49">
        <x:v>410</x:v>
      </x:c>
      <x:c r="J30" s="49">
        <x:v>405</x:v>
      </x:c>
      <x:c r="K30" s="49">
        <x:v>390</x:v>
      </x:c>
      <x:c r="L30" s="49">
        <x:v>130</x:v>
      </x:c>
      <x:c r="M30" s="8">
        <x:v>430</x:v>
      </x:c>
      <x:c r="N30" s="8">
        <x:v>420</x:v>
      </x:c>
      <x:c r="O30" s="8">
        <x:v>420</x:v>
      </x:c>
      <x:c r="P30" s="8">
        <x:v>420</x:v>
      </x:c>
      <x:c r="Q30" s="8">
        <x:v>405</x:v>
      </x:c>
      <x:c r="R30" s="8">
        <x:v>405</x:v>
      </x:c>
      <x:c r="S30" s="58">
        <x:v>120</x:v>
      </x:c>
      <x:c r="T30" s="162">
        <x:v>460</x:v>
      </x:c>
      <x:c r="U30" s="162">
        <x:v>430</x:v>
      </x:c>
      <x:c r="V30" s="162">
        <x:v>430</x:v>
      </x:c>
      <x:c r="W30" s="162">
        <x:v>420</x:v>
      </x:c>
      <x:c r="X30" s="162">
        <x:v>420</x:v>
      </x:c>
      <x:c r="Y30" s="162">
        <x:v>420</x:v>
      </x:c>
      <x:c r="Z30" s="162"/>
      <x:c r="AA30" s="162">
        <x:v>390</x:v>
      </x:c>
      <x:c r="AB30" s="8">
        <x:v>410</x:v>
      </x:c>
      <x:c r="AC30" s="162">
        <x:v>400</x:v>
      </x:c>
      <x:c r="AD30" s="162">
        <x:v>400</x:v>
      </x:c>
      <x:c r="AE30" s="162">
        <x:v>415</x:v>
      </x:c>
      <x:c r="AF30" s="8">
        <x:v>400</x:v>
      </x:c>
      <x:c r="AG30" s="8"/>
      <x:c r="AH30" s="9">
        <x:f>SUM(C30:AG30)</x:f>
      </x:c>
      <x:c r="AI30" s="8"/>
      <x:c r="AL30" s="135"/>
      <x:c r="AM30" s="124"/>
      <x:c r="AN30" s="124"/>
      <x:c r="AO30" s="156"/>
      <x:c r="AP30" s="124"/>
    </x:row>
    <x:row r="31" spans="1:43" x14ac:dyDescent="0.25">
      <x:c r="A31" s="21"/>
      <x:c r="B31" s="148" t="s">
        <x:v>54</x:v>
      </x:c>
      <x:c r="C31" s="8"/>
      <x:c r="D31" s="8"/>
      <x:c r="E31" s="8"/>
      <x:c r="F31" s="8"/>
      <x:c r="G31" s="8"/>
      <x:c r="H31" s="8"/>
      <x:c r="I31" s="49"/>
      <x:c r="J31" s="49"/>
      <x:c r="K31" s="49"/>
      <x:c r="L31" s="49"/>
      <x:c r="M31" s="8"/>
      <x:c r="N31" s="8"/>
      <x:c r="O31" s="8"/>
      <x:c r="P31" s="8"/>
      <x:c r="Q31" s="8"/>
      <x:c r="R31" s="8"/>
      <x:c r="S31" s="58"/>
      <x:c r="T31" s="162"/>
      <x:c r="U31" s="162"/>
      <x:c r="V31" s="162"/>
      <x:c r="W31" s="162"/>
      <x:c r="X31" s="162"/>
      <x:c r="Y31" s="162"/>
      <x:c r="Z31" s="162"/>
      <x:c r="AA31" s="162"/>
      <x:c r="AB31" s="162"/>
      <x:c r="AC31" s="162"/>
      <x:c r="AD31" s="162"/>
      <x:c r="AE31" s="162"/>
      <x:c r="AF31" s="8"/>
      <x:c r="AG31" s="8"/>
      <x:c r="AH31" s="9">
        <x:f>SUM(C31:AG31)</x:f>
      </x:c>
      <x:c r="AI31" s="8"/>
      <x:c r="AL31" s="135"/>
      <x:c r="AM31" s="124"/>
      <x:c r="AN31" s="124" t="s">
        <x:v>64</x:v>
      </x:c>
      <x:c r="AO31" s="156"/>
      <x:c r="AP31" s="124"/>
    </x:row>
    <x:row r="32" spans="1:43" x14ac:dyDescent="0.25">
      <x:c r="A32" s="21"/>
      <x:c r="B32" s="148" t="s">
        <x:v>55</x:v>
      </x:c>
      <x:c r="C32" s="8"/>
      <x:c r="D32" s="8">
        <x:v>60</x:v>
      </x:c>
      <x:c r="E32" s="8">
        <x:v>65</x:v>
      </x:c>
      <x:c r="F32" s="8">
        <x:v>60</x:v>
      </x:c>
      <x:c r="G32" s="8">
        <x:v>60</x:v>
      </x:c>
      <x:c r="H32" s="8">
        <x:v>60</x:v>
      </x:c>
      <x:c r="I32" s="8">
        <x:v>55</x:v>
      </x:c>
      <x:c r="J32" s="8">
        <x:v>55</x:v>
      </x:c>
      <x:c r="K32" s="8">
        <x:v>55</x:v>
      </x:c>
      <x:c r="L32" s="8"/>
      <x:c r="M32" s="49">
        <x:v>55</x:v>
      </x:c>
      <x:c r="N32" s="49">
        <x:v>55</x:v>
      </x:c>
      <x:c r="O32" s="49">
        <x:v>55</x:v>
      </x:c>
      <x:c r="P32" s="8">
        <x:v>55</x:v>
      </x:c>
      <x:c r="Q32" s="49">
        <x:v>55</x:v>
      </x:c>
      <x:c r="R32" s="49">
        <x:v>55</x:v>
      </x:c>
      <x:c r="S32" s="58">
        <x:v>55</x:v>
      </x:c>
      <x:c r="T32" s="162">
        <x:v>55</x:v>
      </x:c>
      <x:c r="U32" s="162">
        <x:v>50</x:v>
      </x:c>
      <x:c r="V32" s="162">
        <x:v>50</x:v>
      </x:c>
      <x:c r="W32" s="162">
        <x:v>55</x:v>
      </x:c>
      <x:c r="X32" s="162">
        <x:v>55</x:v>
      </x:c>
      <x:c r="Y32" s="162">
        <x:v>55</x:v>
      </x:c>
      <x:c r="Z32" s="162"/>
      <x:c r="AA32" s="162">
        <x:v>50</x:v>
      </x:c>
      <x:c r="AB32" s="162">
        <x:v>55</x:v>
      </x:c>
      <x:c r="AC32" s="162">
        <x:v>55</x:v>
      </x:c>
      <x:c r="AD32" s="162">
        <x:v>55</x:v>
      </x:c>
      <x:c r="AE32" s="162">
        <x:v>55</x:v>
      </x:c>
      <x:c r="AF32" s="8">
        <x:v>55</x:v>
      </x:c>
      <x:c r="AG32" s="8"/>
      <x:c r="AH32" s="9">
        <x:f>SUM(C32:AG32)</x:f>
      </x:c>
      <x:c r="AI32" s="8"/>
      <x:c r="AL32" s="135"/>
      <x:c r="AM32" s="124"/>
      <x:c r="AN32" s="124"/>
      <x:c r="AO32" s="156"/>
      <x:c r="AP32" s="124"/>
    </x:row>
    <x:row r="33" spans="1:43" x14ac:dyDescent="0.25">
      <x:c r="A33" s="21"/>
      <x:c r="B33" s="148" t="s">
        <x:v>56</x:v>
      </x:c>
      <x:c r="C33" s="8"/>
      <x:c r="D33" s="8">
        <x:v>11</x:v>
      </x:c>
      <x:c r="E33" s="8">
        <x:v>7</x:v>
      </x:c>
      <x:c r="F33" s="8">
        <x:v>11</x:v>
      </x:c>
      <x:c r="G33" s="8">
        <x:v>11</x:v>
      </x:c>
      <x:c r="H33" s="8">
        <x:v>11</x:v>
      </x:c>
      <x:c r="I33" s="49">
        <x:v>11</x:v>
      </x:c>
      <x:c r="J33" s="49">
        <x:v>11</x:v>
      </x:c>
      <x:c r="K33" s="49">
        <x:v>11</x:v>
      </x:c>
      <x:c r="L33" s="49">
        <x:v>5</x:v>
      </x:c>
      <x:c r="M33" s="8">
        <x:v>11</x:v>
      </x:c>
      <x:c r="N33" s="8">
        <x:v>11</x:v>
      </x:c>
      <x:c r="O33" s="8">
        <x:v>11</x:v>
      </x:c>
      <x:c r="P33" s="8">
        <x:v>11</x:v>
      </x:c>
      <x:c r="Q33" s="8">
        <x:v>11</x:v>
      </x:c>
      <x:c r="R33" s="8">
        <x:v>11</x:v>
      </x:c>
      <x:c r="S33" s="58">
        <x:v>8</x:v>
      </x:c>
      <x:c r="T33" s="162">
        <x:v>11</x:v>
      </x:c>
      <x:c r="U33" s="162">
        <x:v>11</x:v>
      </x:c>
      <x:c r="V33" s="162">
        <x:v>11</x:v>
      </x:c>
      <x:c r="W33" s="162">
        <x:v>11</x:v>
      </x:c>
      <x:c r="X33" s="162">
        <x:v>11</x:v>
      </x:c>
      <x:c r="Y33" s="162">
        <x:v>11</x:v>
      </x:c>
      <x:c r="Z33" s="162"/>
      <x:c r="AA33" s="162">
        <x:v>11</x:v>
      </x:c>
      <x:c r="AB33" s="162">
        <x:v>11</x:v>
      </x:c>
      <x:c r="AC33" s="162">
        <x:v>11</x:v>
      </x:c>
      <x:c r="AD33" s="162">
        <x:v>11</x:v>
      </x:c>
      <x:c r="AE33" s="162">
        <x:v>11</x:v>
      </x:c>
      <x:c r="AF33" s="8">
        <x:v>11</x:v>
      </x:c>
      <x:c r="AG33" s="8"/>
      <x:c r="AH33" s="9">
        <x:f>SUM(C33:AG33)</x:f>
      </x:c>
      <x:c r="AI33" s="8"/>
      <x:c r="AL33" s="2"/>
      <x:c r="AO33" s="3"/>
    </x:row>
    <x:row r="34" spans="1:43" x14ac:dyDescent="0.25">
      <x:c r="A34" s="21"/>
      <x:c r="B34" s="148" t="s">
        <x:v>57</x:v>
      </x:c>
      <x:c r="C34" s="8"/>
      <x:c r="D34" s="8">
        <x:v>11</x:v>
      </x:c>
      <x:c r="E34" s="8"/>
      <x:c r="F34" s="8">
        <x:v>11</x:v>
      </x:c>
      <x:c r="G34" s="8">
        <x:v>11</x:v>
      </x:c>
      <x:c r="H34" s="8">
        <x:v>11</x:v>
      </x:c>
      <x:c r="I34" s="49">
        <x:v>11</x:v>
      </x:c>
      <x:c r="J34" s="49">
        <x:v>11</x:v>
      </x:c>
      <x:c r="K34" s="8">
        <x:v>11</x:v>
      </x:c>
      <x:c r="L34" s="8">
        <x:v>11</x:v>
      </x:c>
      <x:c r="M34" s="8">
        <x:v>11</x:v>
      </x:c>
      <x:c r="N34" s="8">
        <x:v>11</x:v>
      </x:c>
      <x:c r="O34" s="8">
        <x:v>11</x:v>
      </x:c>
      <x:c r="P34" s="8">
        <x:v>11</x:v>
      </x:c>
      <x:c r="Q34" s="8">
        <x:v>11</x:v>
      </x:c>
      <x:c r="R34" s="8">
        <x:v>11</x:v>
      </x:c>
      <x:c r="S34" s="58">
        <x:v>8</x:v>
      </x:c>
      <x:c r="T34" s="162">
        <x:v>11</x:v>
      </x:c>
      <x:c r="U34" s="162">
        <x:v>11</x:v>
      </x:c>
      <x:c r="V34" s="162">
        <x:v>11</x:v>
      </x:c>
      <x:c r="W34" s="162">
        <x:v>11</x:v>
      </x:c>
      <x:c r="X34" s="162">
        <x:v>11</x:v>
      </x:c>
      <x:c r="Y34" s="162">
        <x:v>11</x:v>
      </x:c>
      <x:c r="Z34" s="162"/>
      <x:c r="AA34" s="162">
        <x:v>11</x:v>
      </x:c>
      <x:c r="AB34" s="162">
        <x:v>11</x:v>
      </x:c>
      <x:c r="AC34" s="162">
        <x:v>11</x:v>
      </x:c>
      <x:c r="AD34" s="162">
        <x:v>11</x:v>
      </x:c>
      <x:c r="AE34" s="162">
        <x:v>11</x:v>
      </x:c>
      <x:c r="AF34" s="8">
        <x:v>11</x:v>
      </x:c>
      <x:c r="AG34" s="8"/>
      <x:c r="AH34" s="9">
        <x:f>SUM(C34:AG34)</x:f>
      </x:c>
      <x:c r="AI34" s="8"/>
      <x:c r="AL34" s="2"/>
      <x:c r="AO34" s="3"/>
    </x:row>
    <x:row r="35" spans="1:43" x14ac:dyDescent="0.25">
      <x:c r="A35" s="21"/>
      <x:c r="B35" s="148" t="s">
        <x:v>65</x:v>
      </x:c>
      <x:c r="C35" s="38"/>
      <x:c r="D35" s="38"/>
      <x:c r="E35" s="38"/>
      <x:c r="F35" s="38"/>
      <x:c r="G35" s="38"/>
      <x:c r="H35" s="38"/>
      <x:c r="I35" s="49"/>
      <x:c r="J35" s="49"/>
      <x:c r="K35" s="49"/>
      <x:c r="L35" s="49"/>
      <x:c r="M35" s="8"/>
      <x:c r="N35" s="8"/>
      <x:c r="O35" s="8"/>
      <x:c r="P35" s="8"/>
      <x:c r="Q35" s="8"/>
      <x:c r="R35" s="8"/>
      <x:c r="S35" s="58"/>
      <x:c r="T35" s="162"/>
      <x:c r="U35" s="162"/>
      <x:c r="V35" s="162"/>
      <x:c r="W35" s="162"/>
      <x:c r="X35" s="162"/>
      <x:c r="Y35" s="162"/>
      <x:c r="Z35" s="162"/>
      <x:c r="AA35" s="162"/>
      <x:c r="AB35" s="162"/>
      <x:c r="AC35" s="162"/>
      <x:c r="AD35" s="162"/>
      <x:c r="AE35" s="162"/>
      <x:c r="AF35" s="8"/>
      <x:c r="AG35" s="8"/>
      <x:c r="AH35" s="9">
        <x:f>SUM(C35:AG35)</x:f>
      </x:c>
      <x:c r="AI35" s="8"/>
      <x:c r="AL35" s="2"/>
      <x:c r="AM35" s="3"/>
      <x:c r="AO35" s="3"/>
    </x:row>
    <x:row r="36" spans="1:43" x14ac:dyDescent="0.25">
      <x:c r="A36" s="21"/>
      <x:c r="B36" s="148" t="s">
        <x:v>68</x:v>
      </x:c>
      <x:c r="C36" s="38"/>
      <x:c r="D36" s="38"/>
      <x:c r="E36" s="38"/>
      <x:c r="F36" s="38"/>
      <x:c r="G36" s="38"/>
      <x:c r="H36" s="38"/>
      <x:c r="I36" s="49"/>
      <x:c r="J36" s="49"/>
      <x:c r="K36" s="49"/>
      <x:c r="L36" s="49"/>
      <x:c r="M36" s="25"/>
      <x:c r="N36" s="8"/>
      <x:c r="O36" s="8"/>
      <x:c r="P36" s="8"/>
      <x:c r="Q36" s="8"/>
      <x:c r="R36" s="8"/>
      <x:c r="S36" s="8"/>
      <x:c r="T36" s="162"/>
      <x:c r="U36" s="162"/>
      <x:c r="V36" s="162"/>
      <x:c r="W36" s="162"/>
      <x:c r="X36" s="162"/>
      <x:c r="Y36" s="162"/>
      <x:c r="Z36" s="162"/>
      <x:c r="AA36" s="162"/>
      <x:c r="AB36" s="162"/>
      <x:c r="AC36" s="162"/>
      <x:c r="AD36" s="162"/>
      <x:c r="AE36" s="162"/>
      <x:c r="AF36" s="8"/>
      <x:c r="AG36" s="8"/>
      <x:c r="AH36" s="9">
        <x:f>SUM(C36:AG36)</x:f>
      </x:c>
      <x:c r="AI36" s="8"/>
      <x:c r="AL36" s="2"/>
      <x:c r="AO36" s="3"/>
    </x:row>
    <x:row r="37" spans="1:43" ht="20.25" customHeight="1" x14ac:dyDescent="0.35">
      <x:c r="A37" s="110"/>
      <x:c r="B37" s="145" t="s">
        <x:v>34</x:v>
      </x:c>
      <x:c r="C37" s="163">
        <x:f>SUM(C21:C36)</x:f>
      </x:c>
      <x:c r="D37" s="163">
        <x:f>SUM(D21:D36)</x:f>
      </x:c>
      <x:c r="E37" s="163">
        <x:f>SUM(E21:E36)</x:f>
      </x:c>
      <x:c r="F37" s="163">
        <x:f>SUM(F21:F36)</x:f>
      </x:c>
      <x:c r="G37" s="163">
        <x:f>SUM(G21:G36)</x:f>
      </x:c>
      <x:c r="H37" s="163">
        <x:f>SUM(H21:H36)</x:f>
      </x:c>
      <x:c r="I37" s="163">
        <x:f>SUM(I21:I36)</x:f>
      </x:c>
      <x:c r="J37" s="163">
        <x:f>SUM(J21:J36)</x:f>
      </x:c>
      <x:c r="K37" s="163">
        <x:f>SUM(K21:K36)</x:f>
      </x:c>
      <x:c r="L37" s="163">
        <x:f>SUM(L21:L36)</x:f>
      </x:c>
      <x:c r="M37" s="163">
        <x:f>SUM(M21:M36)</x:f>
      </x:c>
      <x:c r="N37" s="163">
        <x:f>SUM(N21:N36)</x:f>
      </x:c>
      <x:c r="O37" s="163">
        <x:f>SUM(O21:O36)</x:f>
      </x:c>
      <x:c r="P37" s="163">
        <x:f>SUM(P21:P36)</x:f>
      </x:c>
      <x:c r="Q37" s="163">
        <x:f>SUM(Q21:Q36)</x:f>
      </x:c>
      <x:c r="R37" s="163">
        <x:f>SUM(R21:R36)</x:f>
      </x:c>
      <x:c r="S37" s="163">
        <x:f>SUM(S21:S36)</x:f>
      </x:c>
      <x:c r="T37" s="163">
        <x:f>SUM(T21:T36)</x:f>
      </x:c>
      <x:c r="U37" s="163">
        <x:f>SUM(U21:U36)</x:f>
      </x:c>
      <x:c r="V37" s="163">
        <x:f>SUM(V21:V36)</x:f>
      </x:c>
      <x:c r="W37" s="163">
        <x:f>SUM(W21:W36)</x:f>
      </x:c>
      <x:c r="X37" s="163">
        <x:f>SUM(X21:X36)</x:f>
      </x:c>
      <x:c r="Y37" s="163">
        <x:f>SUM(Y21:Y36)</x:f>
      </x:c>
      <x:c r="Z37" s="163">
        <x:f>SUM(Z21:Z36)</x:f>
      </x:c>
      <x:c r="AA37" s="163">
        <x:f>SUM(AA21:AA36)</x:f>
      </x:c>
      <x:c r="AB37" s="163">
        <x:f>SUM(AB21:AB36)</x:f>
      </x:c>
      <x:c r="AC37" s="163">
        <x:f>SUM(AC21:AC36)</x:f>
      </x:c>
      <x:c r="AD37" s="163">
        <x:f>SUM(AD21:AD36)</x:f>
      </x:c>
      <x:c r="AE37" s="163">
        <x:f>SUM(AE21:AE36)</x:f>
      </x:c>
      <x:c r="AF37" s="163">
        <x:f>SUM(AF21:AF36)</x:f>
      </x:c>
      <x:c r="AG37" s="163">
        <x:f>SUM(AG21:AG36)</x:f>
      </x:c>
      <x:c r="AH37" s="163">
        <x:f>SUM(AH21:AH36)</x:f>
      </x:c>
      <x:c r="AI37" s="163">
        <x:f>SUM(AI21:AI36)</x:f>
      </x:c>
      <x:c r="AJ37" s="26"/>
      <x:c r="AK37" s="164"/>
      <x:c r="AL37" s="2"/>
      <x:c r="AO37" s="3"/>
    </x:row>
    <x:row r="45" spans="1:43" ht="18.75" customHeight="1" x14ac:dyDescent="0.3">
      <x:c r="AM45" s="27"/>
      <x:c r="AN45" s="28"/>
      <x:c r="AO45" s="29"/>
      <x:c r="AP45" s="30"/>
      <x:c r="AQ45" s="29"/>
    </x:row>
    <x:row r="46" spans="1:43" ht="18.75" customHeight="1" x14ac:dyDescent="0.3">
      <x:c r="AM46" s="27"/>
      <x:c r="AN46" s="29"/>
      <x:c r="AO46" s="29"/>
      <x:c r="AP46" s="30"/>
      <x:c r="AQ46" s="29"/>
    </x:row>
    <x:row r="47" spans="1:43" ht="18.75" customHeight="1" x14ac:dyDescent="0.3">
      <x:c r="AM47" s="27"/>
      <x:c r="AN47" s="29"/>
      <x:c r="AO47" s="29"/>
      <x:c r="AP47" s="30"/>
      <x:c r="AQ47" s="29"/>
    </x:row>
    <x:row r="48" spans="1:43" ht="18.75" customHeight="1" x14ac:dyDescent="0.3">
      <x:c r="AM48" s="27"/>
      <x:c r="AN48" s="29"/>
      <x:c r="AO48" s="29"/>
      <x:c r="AP48" s="30"/>
      <x:c r="AQ48" s="29"/>
    </x:row>
    <x:row r="49" spans="1:43" ht="18.75" customHeight="1" x14ac:dyDescent="0.3">
      <x:c r="AM49" s="27"/>
      <x:c r="AN49" s="29"/>
      <x:c r="AO49" s="29"/>
      <x:c r="AP49" s="30"/>
      <x:c r="AQ49" s="29"/>
    </x:row>
    <x:row r="50" spans="1:43" ht="18.75" customHeight="1" x14ac:dyDescent="0.3">
      <x:c r="AM50" s="27"/>
      <x:c r="AN50" s="29"/>
      <x:c r="AO50" s="29"/>
      <x:c r="AP50" s="30"/>
      <x:c r="AQ50" s="29"/>
    </x:row>
    <x:row r="51" spans="1:43" ht="18.75" customHeight="1" x14ac:dyDescent="0.3">
      <x:c r="AM51" s="27"/>
      <x:c r="AN51" s="28"/>
      <x:c r="AO51" s="29"/>
      <x:c r="AP51" s="30"/>
      <x:c r="AQ51" s="29"/>
    </x:row>
    <x:row r="52" spans="1:43" ht="18.75" customHeight="1" x14ac:dyDescent="0.3">
      <x:c r="AM52" s="27"/>
      <x:c r="AN52" s="29"/>
      <x:c r="AO52" s="29"/>
      <x:c r="AP52" s="30"/>
      <x:c r="AQ52" s="29"/>
    </x:row>
    <x:row r="53" spans="1:43" ht="18.75" customHeight="1" x14ac:dyDescent="0.3">
      <x:c r="AM53" s="27"/>
      <x:c r="AN53" s="29"/>
      <x:c r="AO53" s="29"/>
      <x:c r="AP53" s="30"/>
      <x:c r="AQ53" s="29"/>
    </x:row>
    <x:row r="54" spans="1:43" ht="18.75" customHeight="1" x14ac:dyDescent="0.3">
      <x:c r="AM54" s="27"/>
      <x:c r="AN54" s="29"/>
      <x:c r="AO54" s="29"/>
      <x:c r="AP54" s="30"/>
      <x:c r="AQ54" s="29"/>
    </x:row>
    <x:row r="55" spans="1:43" ht="18.75" customHeight="1" x14ac:dyDescent="0.3">
      <x:c r="AM55" s="27"/>
      <x:c r="AN55" s="29"/>
      <x:c r="AO55" s="29"/>
      <x:c r="AP55" s="30"/>
      <x:c r="AQ55" s="29"/>
    </x:row>
    <x:row r="56" spans="1:43" ht="18.75" customHeight="1" x14ac:dyDescent="0.3">
      <x:c r="AM56" s="27"/>
      <x:c r="AN56" s="29"/>
      <x:c r="AO56" s="29"/>
      <x:c r="AP56" s="30"/>
      <x:c r="AQ56" s="29"/>
    </x:row>
    <x:row r="57" spans="1:43" ht="18.75" customHeight="1" x14ac:dyDescent="0.3">
      <x:c r="AM57" s="27"/>
      <x:c r="AN57" s="28"/>
      <x:c r="AO57" s="29"/>
      <x:c r="AP57" s="30"/>
      <x:c r="AQ57" s="29"/>
    </x:row>
    <x:row r="58" spans="1:43" ht="18.75" customHeight="1" x14ac:dyDescent="0.3">
      <x:c r="AM58" s="27"/>
      <x:c r="AN58" s="29"/>
      <x:c r="AO58" s="29"/>
      <x:c r="AP58" s="30"/>
      <x:c r="AQ58" s="29"/>
    </x:row>
    <x:row r="59" spans="1:43" ht="18.75" customHeight="1" x14ac:dyDescent="0.3">
      <x:c r="AM59" s="27"/>
      <x:c r="AN59" s="29"/>
      <x:c r="AO59" s="29"/>
      <x:c r="AP59" s="30"/>
      <x:c r="AQ59" s="29"/>
    </x:row>
    <x:row r="60" spans="1:43" ht="18.75" customHeight="1" x14ac:dyDescent="0.3">
      <x:c r="AM60" s="27"/>
      <x:c r="AN60" s="29"/>
      <x:c r="AO60" s="29"/>
      <x:c r="AP60" s="30"/>
      <x:c r="AQ60" s="29"/>
    </x:row>
    <x:row r="61" spans="1:43" ht="18.75" customHeight="1" x14ac:dyDescent="0.3">
      <x:c r="AM61" s="27"/>
      <x:c r="AN61" s="29"/>
      <x:c r="AO61" s="29"/>
      <x:c r="AP61" s="30"/>
      <x:c r="AQ61" s="29"/>
    </x:row>
    <x:row r="62" spans="1:43" ht="18.75" customHeight="1" x14ac:dyDescent="0.3">
      <x:c r="AM62" s="27"/>
      <x:c r="AN62" s="28"/>
      <x:c r="AO62" s="29"/>
      <x:c r="AP62" s="30"/>
      <x:c r="AQ62" s="29"/>
    </x:row>
    <x:row r="63" spans="1:43" ht="18.75" customHeight="1" x14ac:dyDescent="0.25">
      <x:c r="AM63" s="111"/>
      <x:c r="AN63" s="111"/>
      <x:c r="AO63" s="45"/>
      <x:c r="AP63" s="45"/>
      <x:c r="AQ63" s="45"/>
    </x:row>
    <x:row r="64" spans="1:43" ht="18.75" customHeight="1" x14ac:dyDescent="0.3">
      <x:c r="AM64" s="27"/>
      <x:c r="AN64" s="29"/>
      <x:c r="AO64" s="29"/>
      <x:c r="AP64" s="30"/>
      <x:c r="AQ64" s="29"/>
    </x:row>
    <x:row r="65" spans="1:43" ht="18.75" customHeight="1" x14ac:dyDescent="0.3">
      <x:c r="AN65" s="29" t="s">
        <x:v>70</x:v>
      </x:c>
    </x:row>
  </x:sheetData>
  <x:mergeCells count="4">
    <x:mergeCell ref="B1:AI1"/>
    <x:mergeCell ref="A2:A19"/>
    <x:mergeCell ref="A22:A37"/>
    <x:mergeCell ref="AM63:AN63"/>
  </x:mergeCells>
  <x:phoneticPr fontId="18" type="noConversion"/>
  <x:printOptions horizontalCentered="0" verticalCentered="0" headings="0" gridLines="0"/>
  <x:pageMargins left="0.7" right="0.7" top="0.75" bottom="0.75" header="0.3" footer="0.3"/>
  <x:pageSetup paperSize="9" scale="71" pageOrder="downThenOver" orientation="landscape" blackAndWhite="0" draft="0" cellComments="none" errors="displayed" r:id="rId1"/>
  <x:headerFooter/>
  <x:rowBreaks count="1" manualBreakCount="1">
    <x:brk id="45" max="16383" man="1"/>
  </x:rowBreaks>
  <x:colBreaks count="1" manualBreakCount="1">
    <x:brk id="35" max="1048575" man="1"/>
  </x:colBreaks>
  <x:drawing r:id="rId2"/>
  <x:legacyDrawing r:id="rId3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BB0710A-4D1A-4B12-B1DE-82BCE6B7E6AD}" mc:Ignorable="x14ac xr xr2 xr3">
  <x:sheetPr codeName="Sheet3">
    <x:outlinePr summaryBelow="1" summaryRight="1"/>
  </x:sheetPr>
  <x:dimension ref="A1:F34"/>
  <x:sheetViews>
    <x:sheetView workbookViewId="0">
      <x:selection activeCell="N12" sqref="N12"/>
    </x:sheetView>
  </x:sheetViews>
  <x:sheetFormatPr defaultRowHeight="15" x14ac:dyDescent="0.25"/>
  <x:cols>
    <x:col min="1" max="1" width="9.140625" style="0" customWidth="1"/>
    <x:col min="2" max="2" width="14.425781" style="0" customWidth="1"/>
    <x:col min="3" max="3" width="13.140625" style="0" customWidth="1"/>
    <x:col min="4" max="6" width="17.570312" style="0" customWidth="1"/>
  </x:cols>
  <x:sheetData>
    <x:row r="1" spans="1:6" ht="26.25" customHeight="1" x14ac:dyDescent="0.25">
      <x:c r="A1" s="165" t="s">
        <x:v>66</x:v>
      </x:c>
      <x:c r="B1" s="165"/>
      <x:c r="C1" s="165"/>
      <x:c r="D1" s="165"/>
      <x:c r="E1" s="165"/>
      <x:c r="F1" s="165"/>
    </x:row>
    <x:row r="2" spans="1:6" ht="23.25" customHeight="1" s="79" customFormat="1" x14ac:dyDescent="0.25">
      <x:c r="A2" s="166" t="s">
        <x:v>72</x:v>
      </x:c>
      <x:c r="B2" s="167" t="s">
        <x:v>73</x:v>
      </x:c>
      <x:c r="C2" s="167" t="s">
        <x:v>74</x:v>
      </x:c>
      <x:c r="D2" s="166" t="s">
        <x:v>75</x:v>
      </x:c>
      <x:c r="E2" s="166" t="s">
        <x:v>76</x:v>
      </x:c>
      <x:c r="F2" s="166" t="s">
        <x:v>77</x:v>
      </x:c>
    </x:row>
    <x:row r="3" spans="1:6" x14ac:dyDescent="0.25">
      <x:c r="A3" s="168">
        <x:v>1</x:v>
      </x:c>
      <x:c r="B3" s="169">
        <x:v>46229</x:v>
      </x:c>
      <x:c r="C3" s="170" t="s">
        <x:v>71</x:v>
      </x:c>
      <x:c r="D3" s="168"/>
      <x:c r="E3" s="168"/>
      <x:c r="F3" s="168"/>
    </x:row>
    <x:row r="4" spans="1:6" x14ac:dyDescent="0.25">
      <x:c r="A4" s="171">
        <x:v>2</x:v>
      </x:c>
      <x:c r="B4" s="172">
        <x:v>46230</x:v>
      </x:c>
      <x:c r="C4" s="173" t="s">
        <x:v>80</x:v>
      </x:c>
      <x:c r="D4" s="171">
        <x:v>25</x:v>
      </x:c>
      <x:c r="E4" s="171">
        <x:v>40</x:v>
      </x:c>
      <x:c r="F4" s="171">
        <x:v>30</x:v>
      </x:c>
    </x:row>
    <x:row r="5" spans="1:6" x14ac:dyDescent="0.25">
      <x:c r="A5" s="171">
        <x:v>3</x:v>
      </x:c>
      <x:c r="B5" s="172">
        <x:v>46231</x:v>
      </x:c>
      <x:c r="C5" s="173" t="s">
        <x:v>81</x:v>
      </x:c>
      <x:c r="D5" s="171">
        <x:v>25</x:v>
      </x:c>
      <x:c r="E5" s="171">
        <x:v>40</x:v>
      </x:c>
      <x:c r="F5" s="171">
        <x:v>30</x:v>
      </x:c>
    </x:row>
    <x:row r="6" spans="1:6" x14ac:dyDescent="0.25">
      <x:c r="A6" s="171">
        <x:v>4</x:v>
      </x:c>
      <x:c r="B6" s="172">
        <x:v>46232</x:v>
      </x:c>
      <x:c r="C6" s="173" t="s">
        <x:v>82</x:v>
      </x:c>
      <x:c r="D6" s="171">
        <x:v>25</x:v>
      </x:c>
      <x:c r="E6" s="171">
        <x:v>35</x:v>
      </x:c>
      <x:c r="F6" s="171">
        <x:v>25</x:v>
      </x:c>
    </x:row>
    <x:row r="7" spans="1:6" x14ac:dyDescent="0.25">
      <x:c r="A7" s="171">
        <x:v>5</x:v>
      </x:c>
      <x:c r="B7" s="172">
        <x:v>46233</x:v>
      </x:c>
      <x:c r="C7" s="173" t="s">
        <x:v>83</x:v>
      </x:c>
      <x:c r="D7" s="171">
        <x:v>25</x:v>
      </x:c>
      <x:c r="E7" s="171">
        <x:v>35</x:v>
      </x:c>
      <x:c r="F7" s="171">
        <x:v>25</x:v>
      </x:c>
    </x:row>
    <x:row r="8" spans="1:6" x14ac:dyDescent="0.25">
      <x:c r="A8" s="171">
        <x:v>6</x:v>
      </x:c>
      <x:c r="B8" s="172">
        <x:v>46234</x:v>
      </x:c>
      <x:c r="C8" s="173" t="s">
        <x:v>84</x:v>
      </x:c>
      <x:c r="D8" s="171">
        <x:v>20</x:v>
      </x:c>
      <x:c r="E8" s="171">
        <x:v>30</x:v>
      </x:c>
      <x:c r="F8" s="171">
        <x:v>20</x:v>
      </x:c>
    </x:row>
    <x:row r="9" spans="1:6" x14ac:dyDescent="0.25">
      <x:c r="A9" s="171">
        <x:v>7</x:v>
      </x:c>
      <x:c r="B9" s="172">
        <x:v>46235</x:v>
      </x:c>
      <x:c r="C9" s="173" t="s">
        <x:v>85</x:v>
      </x:c>
      <x:c r="D9" s="171">
        <x:v>20</x:v>
      </x:c>
      <x:c r="E9" s="171">
        <x:v>25</x:v>
      </x:c>
      <x:c r="F9" s="171"/>
    </x:row>
    <x:row r="10" spans="1:6" x14ac:dyDescent="0.25">
      <x:c r="A10" s="168">
        <x:v>8</x:v>
      </x:c>
      <x:c r="B10" s="169">
        <x:v>46236</x:v>
      </x:c>
      <x:c r="C10" s="170" t="s">
        <x:v>71</x:v>
      </x:c>
      <x:c r="D10" s="168"/>
      <x:c r="E10" s="168"/>
      <x:c r="F10" s="168"/>
    </x:row>
    <x:row r="11" spans="1:6" x14ac:dyDescent="0.25">
      <x:c r="A11" s="171">
        <x:v>9</x:v>
      </x:c>
      <x:c r="B11" s="172">
        <x:v>46237</x:v>
      </x:c>
      <x:c r="C11" s="173" t="s">
        <x:v>80</x:v>
      </x:c>
      <x:c r="D11" s="171">
        <x:v>20</x:v>
      </x:c>
      <x:c r="E11" s="171">
        <x:v>25</x:v>
      </x:c>
      <x:c r="F11" s="171">
        <x:v>20</x:v>
      </x:c>
    </x:row>
    <x:row r="12" spans="1:6" x14ac:dyDescent="0.25">
      <x:c r="A12" s="171">
        <x:v>10</x:v>
      </x:c>
      <x:c r="B12" s="172">
        <x:v>46238</x:v>
      </x:c>
      <x:c r="C12" s="173" t="s">
        <x:v>81</x:v>
      </x:c>
      <x:c r="D12" s="171">
        <x:v>20</x:v>
      </x:c>
      <x:c r="E12" s="171">
        <x:v>25</x:v>
      </x:c>
      <x:c r="F12" s="171">
        <x:v>20</x:v>
      </x:c>
    </x:row>
    <x:row r="13" spans="1:6" x14ac:dyDescent="0.25">
      <x:c r="A13" s="171">
        <x:v>11</x:v>
      </x:c>
      <x:c r="B13" s="172">
        <x:v>46239</x:v>
      </x:c>
      <x:c r="C13" s="173" t="s">
        <x:v>82</x:v>
      </x:c>
      <x:c r="D13" s="171">
        <x:v>20</x:v>
      </x:c>
      <x:c r="E13" s="171">
        <x:v>20</x:v>
      </x:c>
      <x:c r="F13" s="171">
        <x:v>15</x:v>
      </x:c>
    </x:row>
    <x:row r="14" spans="1:6" x14ac:dyDescent="0.25">
      <x:c r="A14" s="171">
        <x:v>12</x:v>
      </x:c>
      <x:c r="B14" s="172">
        <x:v>46240</x:v>
      </x:c>
      <x:c r="C14" s="173" t="s">
        <x:v>83</x:v>
      </x:c>
      <x:c r="D14" s="171">
        <x:v>20</x:v>
      </x:c>
      <x:c r="E14" s="171">
        <x:v>20</x:v>
      </x:c>
      <x:c r="F14" s="171">
        <x:v>15</x:v>
      </x:c>
    </x:row>
    <x:row r="15" spans="1:6" x14ac:dyDescent="0.25">
      <x:c r="A15" s="171">
        <x:v>13</x:v>
      </x:c>
      <x:c r="B15" s="172">
        <x:v>46241</x:v>
      </x:c>
      <x:c r="C15" s="173" t="s">
        <x:v>84</x:v>
      </x:c>
      <x:c r="D15" s="171">
        <x:v>20</x:v>
      </x:c>
      <x:c r="E15" s="171">
        <x:v>20</x:v>
      </x:c>
      <x:c r="F15" s="171">
        <x:v>15</x:v>
      </x:c>
    </x:row>
    <x:row r="16" spans="1:6" x14ac:dyDescent="0.25">
      <x:c r="A16" s="171">
        <x:v>14</x:v>
      </x:c>
      <x:c r="B16" s="172">
        <x:v>46242</x:v>
      </x:c>
      <x:c r="C16" s="173" t="s">
        <x:v>85</x:v>
      </x:c>
      <x:c r="D16" s="171">
        <x:v>20</x:v>
      </x:c>
      <x:c r="E16" s="171">
        <x:v>20</x:v>
      </x:c>
      <x:c r="F16" s="171"/>
    </x:row>
    <x:row r="17" spans="1:6" x14ac:dyDescent="0.25">
      <x:c r="A17" s="168">
        <x:v>15</x:v>
      </x:c>
      <x:c r="B17" s="169">
        <x:v>46243</x:v>
      </x:c>
      <x:c r="C17" s="170" t="s">
        <x:v>71</x:v>
      </x:c>
      <x:c r="D17" s="168"/>
      <x:c r="E17" s="168"/>
      <x:c r="F17" s="168"/>
    </x:row>
    <x:row r="18" spans="1:6" x14ac:dyDescent="0.25">
      <x:c r="A18" s="171">
        <x:v>16</x:v>
      </x:c>
      <x:c r="B18" s="172">
        <x:v>46244</x:v>
      </x:c>
      <x:c r="C18" s="173" t="s">
        <x:v>80</x:v>
      </x:c>
      <x:c r="D18" s="171">
        <x:v>20</x:v>
      </x:c>
      <x:c r="E18" s="171">
        <x:v>20</x:v>
      </x:c>
      <x:c r="F18" s="171">
        <x:v>15</x:v>
      </x:c>
    </x:row>
    <x:row r="19" spans="1:6" x14ac:dyDescent="0.25">
      <x:c r="A19" s="171">
        <x:v>17</x:v>
      </x:c>
      <x:c r="B19" s="172">
        <x:v>46245</x:v>
      </x:c>
      <x:c r="C19" s="173" t="s">
        <x:v>81</x:v>
      </x:c>
      <x:c r="D19" s="171">
        <x:v>20</x:v>
      </x:c>
      <x:c r="E19" s="171">
        <x:v>20</x:v>
      </x:c>
      <x:c r="F19" s="171">
        <x:v>15</x:v>
      </x:c>
    </x:row>
    <x:row r="20" spans="1:6" x14ac:dyDescent="0.25">
      <x:c r="A20" s="171">
        <x:v>18</x:v>
      </x:c>
      <x:c r="B20" s="172">
        <x:v>46246</x:v>
      </x:c>
      <x:c r="C20" s="173" t="s">
        <x:v>82</x:v>
      </x:c>
      <x:c r="D20" s="171">
        <x:v>20</x:v>
      </x:c>
      <x:c r="E20" s="171">
        <x:v>20</x:v>
      </x:c>
      <x:c r="F20" s="171">
        <x:v>15</x:v>
      </x:c>
    </x:row>
    <x:row r="21" spans="1:6" x14ac:dyDescent="0.25">
      <x:c r="A21" s="171">
        <x:v>19</x:v>
      </x:c>
      <x:c r="B21" s="172">
        <x:v>46247</x:v>
      </x:c>
      <x:c r="C21" s="173" t="s">
        <x:v>83</x:v>
      </x:c>
      <x:c r="D21" s="171">
        <x:v>20</x:v>
      </x:c>
      <x:c r="E21" s="171">
        <x:v>20</x:v>
      </x:c>
      <x:c r="F21" s="171">
        <x:v>15</x:v>
      </x:c>
    </x:row>
    <x:row r="22" spans="1:6" x14ac:dyDescent="0.25">
      <x:c r="A22" s="171">
        <x:v>20</x:v>
      </x:c>
      <x:c r="B22" s="172">
        <x:v>46248</x:v>
      </x:c>
      <x:c r="C22" s="173" t="s">
        <x:v>84</x:v>
      </x:c>
      <x:c r="D22" s="171">
        <x:v>20</x:v>
      </x:c>
      <x:c r="E22" s="171">
        <x:v>20</x:v>
      </x:c>
      <x:c r="F22" s="171"/>
    </x:row>
    <x:row r="23" spans="1:6" x14ac:dyDescent="0.25">
      <x:c r="A23" s="171">
        <x:v>21</x:v>
      </x:c>
      <x:c r="B23" s="172">
        <x:v>46249</x:v>
      </x:c>
      <x:c r="C23" s="173" t="s">
        <x:v>85</x:v>
      </x:c>
      <x:c r="D23" s="171">
        <x:v>20</x:v>
      </x:c>
      <x:c r="E23" s="171">
        <x:v>20</x:v>
      </x:c>
      <x:c r="F23" s="171"/>
    </x:row>
    <x:row r="24" spans="1:6" x14ac:dyDescent="0.25">
      <x:c r="A24" s="168">
        <x:v>22</x:v>
      </x:c>
      <x:c r="B24" s="169">
        <x:v>46250</x:v>
      </x:c>
      <x:c r="C24" s="170" t="s">
        <x:v>71</x:v>
      </x:c>
      <x:c r="D24" s="168"/>
      <x:c r="E24" s="168"/>
      <x:c r="F24" s="168"/>
    </x:row>
    <x:row r="25" spans="1:6" x14ac:dyDescent="0.25">
      <x:c r="A25" s="171">
        <x:v>23</x:v>
      </x:c>
      <x:c r="B25" s="172">
        <x:v>46251</x:v>
      </x:c>
      <x:c r="C25" s="173" t="s">
        <x:v>80</x:v>
      </x:c>
      <x:c r="D25" s="171">
        <x:v>20</x:v>
      </x:c>
      <x:c r="E25" s="171">
        <x:v>20</x:v>
      </x:c>
      <x:c r="F25" s="171">
        <x:v>15</x:v>
      </x:c>
    </x:row>
    <x:row r="26" spans="1:6" x14ac:dyDescent="0.25">
      <x:c r="A26" s="171">
        <x:v>24</x:v>
      </x:c>
      <x:c r="B26" s="172">
        <x:v>46252</x:v>
      </x:c>
      <x:c r="C26" s="173" t="s">
        <x:v>81</x:v>
      </x:c>
      <x:c r="D26" s="171">
        <x:v>20</x:v>
      </x:c>
      <x:c r="E26" s="171">
        <x:v>20</x:v>
      </x:c>
      <x:c r="F26" s="171">
        <x:v>15</x:v>
      </x:c>
    </x:row>
    <x:row r="27" spans="1:6" x14ac:dyDescent="0.25">
      <x:c r="A27" s="171">
        <x:v>25</x:v>
      </x:c>
      <x:c r="B27" s="172">
        <x:v>46253</x:v>
      </x:c>
      <x:c r="C27" s="173" t="s">
        <x:v>82</x:v>
      </x:c>
      <x:c r="D27" s="171">
        <x:v>20</x:v>
      </x:c>
      <x:c r="E27" s="171">
        <x:v>25</x:v>
      </x:c>
      <x:c r="F27" s="171">
        <x:v>15</x:v>
      </x:c>
    </x:row>
    <x:row r="28" spans="1:6" x14ac:dyDescent="0.25">
      <x:c r="A28" s="171">
        <x:v>26</x:v>
      </x:c>
      <x:c r="B28" s="172">
        <x:v>46254</x:v>
      </x:c>
      <x:c r="C28" s="173" t="s">
        <x:v>83</x:v>
      </x:c>
      <x:c r="D28" s="171">
        <x:v>20</x:v>
      </x:c>
      <x:c r="E28" s="171">
        <x:v>25</x:v>
      </x:c>
      <x:c r="F28" s="171">
        <x:v>15</x:v>
      </x:c>
    </x:row>
    <x:row r="29" spans="1:6" x14ac:dyDescent="0.25">
      <x:c r="A29" s="171">
        <x:v>27</x:v>
      </x:c>
      <x:c r="B29" s="172">
        <x:v>46255</x:v>
      </x:c>
      <x:c r="C29" s="173" t="s">
        <x:v>84</x:v>
      </x:c>
      <x:c r="D29" s="171">
        <x:v>20</x:v>
      </x:c>
      <x:c r="E29" s="171">
        <x:v>25</x:v>
      </x:c>
      <x:c r="F29" s="171">
        <x:v>15</x:v>
      </x:c>
    </x:row>
    <x:row r="30" spans="1:6" x14ac:dyDescent="0.25">
      <x:c r="A30" s="171">
        <x:v>28</x:v>
      </x:c>
      <x:c r="B30" s="172">
        <x:v>46256</x:v>
      </x:c>
      <x:c r="C30" s="173" t="s">
        <x:v>85</x:v>
      </x:c>
      <x:c r="D30" s="171"/>
      <x:c r="E30" s="171">
        <x:v>25</x:v>
      </x:c>
      <x:c r="F30" s="171"/>
    </x:row>
    <x:row r="31" spans="1:6" x14ac:dyDescent="0.25">
      <x:c r="A31" s="168">
        <x:v>29</x:v>
      </x:c>
      <x:c r="B31" s="169">
        <x:v>46257</x:v>
      </x:c>
      <x:c r="C31" s="170" t="s">
        <x:v>71</x:v>
      </x:c>
      <x:c r="D31" s="168"/>
      <x:c r="E31" s="168"/>
      <x:c r="F31" s="168"/>
    </x:row>
    <x:row r="32" spans="1:6" x14ac:dyDescent="0.25">
      <x:c r="A32" s="171">
        <x:v>30</x:v>
      </x:c>
      <x:c r="B32" s="172">
        <x:v>46258</x:v>
      </x:c>
      <x:c r="C32" s="173" t="s">
        <x:v>80</x:v>
      </x:c>
      <x:c r="D32" s="171">
        <x:v>20</x:v>
      </x:c>
      <x:c r="E32" s="171">
        <x:v>25</x:v>
      </x:c>
      <x:c r="F32" s="171">
        <x:v>15</x:v>
      </x:c>
    </x:row>
    <x:row r="33" spans="1:6" x14ac:dyDescent="0.25">
      <x:c r="A33" s="171">
        <x:v>31</x:v>
      </x:c>
      <x:c r="B33" s="172">
        <x:v>46259</x:v>
      </x:c>
      <x:c r="C33" s="173" t="s">
        <x:v>81</x:v>
      </x:c>
      <x:c r="D33" s="171">
        <x:v>20</x:v>
      </x:c>
      <x:c r="E33" s="171">
        <x:v>25</x:v>
      </x:c>
      <x:c r="F33" s="171">
        <x:v>15</x:v>
      </x:c>
    </x:row>
    <x:row r="34" spans="1:6" x14ac:dyDescent="0.25">
      <x:c r="A34" s="174" t="s">
        <x:v>78</x:v>
      </x:c>
      <x:c r="B34" s="174"/>
      <x:c r="C34" s="174"/>
      <x:c r="D34" s="175">
        <x:f>SUBTOTAL(9, D3:D33)</x:f>
      </x:c>
      <x:c r="E34" s="175">
        <x:f>SUBTOTAL(9, E3:E33)</x:f>
      </x:c>
      <x:c r="F34" s="175">
        <x:f>SUBTOTAL(9, F3:F33)</x:f>
      </x:c>
    </x:row>
  </x:sheetData>
  <x:mergeCells count="2">
    <x:mergeCell ref="A1:F1"/>
    <x:mergeCell ref="A34:B3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TitlesOfParts>
    <vt:vector baseType="lpstr" size="11">
      <vt:lpstr>Ngày tháng 08</vt:lpstr>
      <vt:lpstr>Đêm tháng 08</vt:lpstr>
      <vt:lpstr>Cơm Hàn</vt:lpstr>
      <vt:lpstr>Ngày tháng 08!_xlnm._FilterDatabase</vt:lpstr>
      <vt:lpstr>Ngày tháng 08!Print_Area</vt:lpstr>
      <vt:lpstr>Ngày tháng 08!Print_Titles</vt:lpstr>
      <vt:lpstr>Đêm tháng 08!_xlnm._FilterDatabase</vt:lpstr>
      <vt:lpstr>Đêm tháng 08!Print_Area</vt:lpstr>
      <vt:lpstr>Đêm tháng 08!Print_Titles</vt:lpstr>
      <vt:lpstr>Cơm Hàn!Print_Area</vt:lpstr>
      <vt:lpstr>Cơm Hàn!Print_Titles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Huynh Thi Mai</dc:creator>
  <lastModifiedBy>Nguyen Lam Dong</lastModifiedBy>
  <lastPrinted>2026-02-10T08:20:04.0000000Z</lastPrinted>
  <dcterms:created xsi:type="dcterms:W3CDTF">2022-05-06T01:15:14.0000000Z</dcterms:created>
  <dcterms:modified xsi:type="dcterms:W3CDTF">2026-09-19T04:34:48.0000000Z</dcterms:modified>
</coreProperties>
</file>